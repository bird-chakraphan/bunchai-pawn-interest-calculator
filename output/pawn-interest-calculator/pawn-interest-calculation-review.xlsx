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7c0670531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8665ba7be6664d0a"/>
    <x:sheet xmlns:r="http://schemas.openxmlformats.org/officeDocument/2006/relationships" name="Review Cases" sheetId="2" r:id="Rf9ef460ddbd6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#,##0"/>
    <x:numFmt numFmtId="203" formatCode="0.00%"/>
  </x:numFmts>
  <x:fonts count="23">
    <x:font>
      <x:sz val="11"/>
      <x:name val="Carlito"/>
    </x:font>
    <x:font>
      <x:sz val="18"/>
      <x:name val="Carlito"/>
    </x:font>
    <x:font>
      <x:b/>
      <x:sz val="18"/>
      <x:name val="Carlito"/>
    </x:font>
    <x:font>
      <x:b/>
      <x:sz val="18"/>
      <x:color rgb="F5C84C"/>
      <x:name val="Carlito"/>
    </x:font>
    <x:font>
      <x:sz val="11"/>
      <x:color rgb="F4E4C3"/>
      <x:name val="Carlito"/>
    </x:font>
    <x:font>
      <x:b/>
      <x:sz val="11"/>
      <x:name val="Carlito"/>
    </x:font>
    <x:font>
      <x:b/>
      <x:sz val="11"/>
      <x:color rgb="F5C84C"/>
      <x:name val="Carlito"/>
    </x:font>
    <x:font>
      <x:b/>
      <x:sz val="11"/>
      <x:color rgb="6F0607"/>
      <x:name val="Carlito"/>
    </x:font>
    <x:font>
      <x:b/>
      <x:sz val="16"/>
      <x:color rgb="6F0607"/>
      <x:name val="Carlito"/>
    </x:font>
    <x:font>
      <x:b/>
      <x:sz val="18"/>
      <x:color rgb="F5C84C"/>
      <x:name val="Arial"/>
    </x:font>
    <x:font>
      <x:sz val="11"/>
      <x:name val="Arial"/>
    </x:font>
    <x:font>
      <x:sz val="11"/>
      <x:color rgb="F4E4C3"/>
      <x:name val="Arial"/>
    </x:font>
    <x:font>
      <x:b/>
      <x:sz val="11"/>
      <x:color rgb="F5C84C"/>
      <x:name val="Arial"/>
    </x:font>
    <x:font>
      <x:b/>
      <x:sz val="11"/>
      <x:color rgb="6F0607"/>
      <x:name val="Arial"/>
    </x:font>
    <x:font>
      <x:b/>
      <x:sz val="16"/>
      <x:color rgb="6F0607"/>
      <x:name val="Arial"/>
    </x:font>
    <x:font>
      <x:b/>
      <x:sz val="18"/>
      <x:color rgb="3F1E08"/>
      <x:name val="Arial"/>
    </x:font>
    <x:font>
      <x:sz val="11"/>
      <x:color rgb="3F1E08"/>
      <x:name val="Arial"/>
    </x:font>
    <x:font>
      <x:b/>
      <x:sz val="11"/>
      <x:color rgb="3F1E08"/>
      <x:name val="Arial"/>
    </x:font>
    <x:font>
      <x:b/>
      <x:sz val="16"/>
      <x:color rgb="3F1E08"/>
      <x:name val="Arial"/>
    </x:font>
    <x:font>
      <x:sz val="10"/>
      <x:color rgb="3F1E08"/>
      <x:name val="Arial"/>
    </x:font>
    <x:font>
      <x:b/>
      <x:sz val="10"/>
      <x:color rgb="3F1E08"/>
      <x:name val="Arial"/>
    </x:font>
    <x:font>
      <x:b/>
      <x:sz val="10"/>
      <x:color rgb="F5C84C"/>
      <x:name val="Arial"/>
    </x:font>
    <x:font>
      <x:sz val="11"/>
      <x:color rgb="F5C84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7A0708"/>
      </x:patternFill>
    </x:fill>
    <x:fill>
      <x:patternFill patternType="solid">
        <x:fgColor rgb="8F0A0B"/>
      </x:patternFill>
    </x:fill>
    <x:fill>
      <x:patternFill patternType="solid">
        <x:fgColor rgb="F8ECD1"/>
      </x:patternFill>
    </x:fill>
    <x:fill>
      <x:patternFill patternType="solid">
        <x:fgColor rgb="FFF8E8"/>
      </x:patternFill>
    </x:fill>
    <x:fill>
      <x:patternFill patternType="solid">
        <x:fgColor rgb="F6E7C4"/>
      </x:patternFill>
    </x:fill>
    <x:fill>
      <x:patternFill patternType="solid">
        <x:fgColor rgb="FFFDF6"/>
      </x:patternFill>
    </x:fill>
  </x:fills>
  <x:borders count="23">
    <x:border/>
    <x:border>
      <x:top/>
    </x:border>
    <x:border>
      <x:top>
        <x:color rgb="E5C16A"/>
      </x:top>
    </x:border>
    <x:border>
      <x:bottom/>
    </x:border>
    <x:border>
      <x:bottom>
        <x:color rgb="E5C16A"/>
      </x:bottom>
    </x:border>
    <x:border>
      <x:left/>
      <x:top>
        <x:color rgb="E5C16A"/>
      </x:top>
    </x:border>
    <x:border>
      <x:left/>
    </x:border>
    <x:border>
      <x:left/>
      <x:bottom>
        <x:color rgb="E5C16A"/>
      </x:bottom>
    </x:border>
    <x:border>
      <x:left>
        <x:color rgb="E5C16A"/>
      </x:left>
      <x:top>
        <x:color rgb="E5C16A"/>
      </x:top>
    </x:border>
    <x:border>
      <x:left>
        <x:color rgb="E5C16A"/>
      </x:left>
    </x:border>
    <x:border>
      <x:left>
        <x:color rgb="E5C16A"/>
      </x:left>
      <x:bottom>
        <x:color rgb="E5C16A"/>
      </x:bottom>
    </x:border>
    <x:border>
      <x:right/>
      <x:top>
        <x:color rgb="E5C16A"/>
      </x:top>
    </x:border>
    <x:border>
      <x:right/>
    </x:border>
    <x:border>
      <x:right/>
      <x:bottom>
        <x:color rgb="E5C16A"/>
      </x:bottom>
    </x:border>
    <x:border>
      <x:right>
        <x:color rgb="E5C16A"/>
      </x:right>
      <x:top>
        <x:color rgb="E5C16A"/>
      </x:top>
    </x:border>
    <x:border>
      <x:right>
        <x:color rgb="E5C16A"/>
      </x:right>
    </x:border>
    <x:border>
      <x:right>
        <x:color rgb="E5C16A"/>
      </x:right>
      <x:bottom>
        <x:color rgb="E5C16A"/>
      </x:bottom>
    </x:border>
    <x:border>
      <x:left>
        <x:color rgb="E5C16A"/>
      </x:left>
      <x:right/>
      <x:top>
        <x:color rgb="E5C16A"/>
      </x:top>
    </x:border>
    <x:border>
      <x:left>
        <x:color rgb="E5C16A"/>
      </x:left>
      <x:right/>
    </x:border>
    <x:border>
      <x:left>
        <x:color rgb="E5C16A"/>
      </x:left>
      <x:right/>
      <x:bottom>
        <x:color rgb="E5C16A"/>
      </x:bottom>
    </x:border>
    <x:border>
      <x:left>
        <x:color rgb="E5C16A"/>
      </x:left>
      <x:right>
        <x:color rgb="E5C16A"/>
      </x:right>
      <x:top>
        <x:color rgb="E5C16A"/>
      </x:top>
    </x:border>
    <x:border>
      <x:left>
        <x:color rgb="E5C16A"/>
      </x:left>
      <x:right>
        <x:color rgb="E5C16A"/>
      </x:right>
    </x:border>
    <x:border>
      <x:left>
        <x:color rgb="E5C16A"/>
      </x:left>
      <x:right>
        <x:color rgb="E5C16A"/>
      </x:right>
      <x:bottom>
        <x:color rgb="E5C16A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7" fillId="4" borderId="0" xfId="0" applyNumberFormat="1" applyFont="1" applyFill="1" applyBorder="1"/>
    <x:xf numFmtId="0" fontId="7" fillId="5" borderId="0" xfId="0" applyNumberFormat="1" applyFont="1" applyFill="1" applyBorder="1"/>
    <x:xf numFmtId="0" fontId="8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0" fillId="7" borderId="0" xfId="0" applyNumberFormat="1" applyFont="1" applyFill="1" applyBorder="1"/>
    <x:xf numFmtId="202" fontId="0" fillId="5" borderId="0" xfId="0" applyNumberFormat="1" applyFont="1" applyFill="1" applyBorder="1"/>
    <x:xf numFmtId="203" fontId="0" fillId="5" borderId="0" xfId="0" applyNumberFormat="1" applyFont="1" applyFill="1" applyBorder="1"/>
    <x:xf numFmtId="202" fontId="8" fillId="5" borderId="0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1" fillId="2" borderId="0" xfId="0" applyNumberFormat="1" applyFont="1" applyFill="1" applyBorder="1"/>
    <x:xf numFmtId="0" fontId="12" fillId="3" borderId="0" xfId="0" applyNumberFormat="1" applyFont="1" applyFill="1" applyBorder="1"/>
    <x:xf numFmtId="0" fontId="10" fillId="0" borderId="0" xfId="0" applyNumberFormat="1" applyFont="1" applyFill="1" applyBorder="1"/>
    <x:xf numFmtId="0" fontId="10" fillId="4" borderId="0" xfId="0" applyNumberFormat="1" applyFont="1" applyFill="1" applyBorder="1"/>
    <x:xf numFmtId="200" fontId="10" fillId="5" borderId="0" xfId="0" applyNumberFormat="1" applyFont="1" applyFill="1" applyBorder="1"/>
    <x:xf numFmtId="0" fontId="13" fillId="4" borderId="0" xfId="0" applyNumberFormat="1" applyFont="1" applyFill="1" applyBorder="1"/>
    <x:xf numFmtId="202" fontId="14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7" borderId="0" xfId="0" applyNumberFormat="1" applyFont="1" applyFill="1" applyBorder="1"/>
    <x:xf numFmtId="200" fontId="10" fillId="7" borderId="0" xfId="0" applyNumberFormat="1" applyFont="1" applyFill="1" applyBorder="1"/>
    <x:xf numFmtId="202" fontId="10" fillId="5" borderId="0" xfId="0" applyNumberFormat="1" applyFont="1" applyFill="1" applyBorder="1"/>
    <x:xf numFmtId="0" fontId="10" fillId="6" borderId="0" xfId="0" applyNumberFormat="1" applyFont="1" applyFill="1" applyBorder="1"/>
    <x:xf numFmtId="203" fontId="10" fillId="5" borderId="0" xfId="0" applyNumberFormat="1" applyFont="1" applyFill="1" applyBorder="1"/>
    <x:xf numFmtId="201" fontId="10" fillId="5" borderId="0" xfId="0" applyNumberFormat="1" applyFont="1" applyFill="1" applyBorder="1"/>
    <x:xf numFmtId="0" fontId="15" fillId="2" borderId="0" xfId="0" applyNumberFormat="1" applyFont="1" applyFill="1" applyBorder="1"/>
    <x:xf numFmtId="0" fontId="16" fillId="2" borderId="0" xfId="0" applyNumberFormat="1" applyFont="1" applyFill="1" applyBorder="1"/>
    <x:xf numFmtId="0" fontId="17" fillId="3" borderId="0" xfId="0" applyNumberFormat="1" applyFont="1" applyFill="1" applyBorder="1"/>
    <x:xf numFmtId="0" fontId="16" fillId="0" borderId="0" xfId="0" applyNumberFormat="1" applyFont="1" applyFill="1" applyBorder="1"/>
    <x:xf numFmtId="0" fontId="16" fillId="4" borderId="0" xfId="0" applyNumberFormat="1" applyFont="1" applyFill="1" applyBorder="1"/>
    <x:xf numFmtId="200" fontId="16" fillId="5" borderId="0" xfId="0" applyNumberFormat="1" applyFont="1" applyFill="1" applyBorder="1"/>
    <x:xf numFmtId="0" fontId="17" fillId="4" borderId="0" xfId="0" applyNumberFormat="1" applyFont="1" applyFill="1" applyBorder="1"/>
    <x:xf numFmtId="202" fontId="18" fillId="5" borderId="0" xfId="0" applyNumberFormat="1" applyFont="1" applyFill="1" applyBorder="1"/>
    <x:xf numFmtId="0" fontId="16" fillId="5" borderId="0" xfId="0" applyNumberFormat="1" applyFont="1" applyFill="1" applyBorder="1"/>
    <x:xf numFmtId="0" fontId="16" fillId="7" borderId="0" xfId="0" applyNumberFormat="1" applyFont="1" applyFill="1" applyBorder="1"/>
    <x:xf numFmtId="200" fontId="16" fillId="7" borderId="0" xfId="0" applyNumberFormat="1" applyFont="1" applyFill="1" applyBorder="1"/>
    <x:xf numFmtId="202" fontId="16" fillId="5" borderId="0" xfId="0" applyNumberFormat="1" applyFont="1" applyFill="1" applyBorder="1"/>
    <x:xf numFmtId="0" fontId="16" fillId="6" borderId="0" xfId="0" applyNumberFormat="1" applyFont="1" applyFill="1" applyBorder="1"/>
    <x:xf numFmtId="203" fontId="16" fillId="5" borderId="0" xfId="0" applyNumberFormat="1" applyFont="1" applyFill="1" applyBorder="1"/>
    <x:xf numFmtId="201" fontId="16" fillId="5" borderId="0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0" fontId="16" fillId="2" borderId="0" xfId="0" applyNumberFormat="1" applyFont="1" applyFill="1" applyBorder="1" applyAlignment="1">
      <x:alignment wrapText="1"/>
    </x:xf>
    <x:xf numFmtId="0" fontId="17" fillId="3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wrapText="1"/>
    </x:xf>
    <x:xf numFmtId="0" fontId="16" fillId="4" borderId="0" xfId="0" applyNumberFormat="1" applyFont="1" applyFill="1" applyBorder="1" applyAlignment="1">
      <x:alignment wrapText="1"/>
    </x:xf>
    <x:xf numFmtId="200" fontId="16" fillId="5" borderId="0" xfId="0" applyNumberFormat="1" applyFont="1" applyFill="1" applyBorder="1" applyAlignment="1">
      <x:alignment wrapText="1"/>
    </x:xf>
    <x:xf numFmtId="0" fontId="17" fillId="4" borderId="0" xfId="0" applyNumberFormat="1" applyFont="1" applyFill="1" applyBorder="1" applyAlignment="1">
      <x:alignment wrapText="1"/>
    </x:xf>
    <x:xf numFmtId="202" fontId="18" fillId="5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wrapText="1"/>
    </x:xf>
    <x:xf numFmtId="0" fontId="16" fillId="7" borderId="0" xfId="0" applyNumberFormat="1" applyFont="1" applyFill="1" applyBorder="1" applyAlignment="1">
      <x:alignment wrapText="1"/>
    </x:xf>
    <x:xf numFmtId="200" fontId="16" fillId="7" borderId="0" xfId="0" applyNumberFormat="1" applyFont="1" applyFill="1" applyBorder="1" applyAlignment="1">
      <x:alignment wrapText="1"/>
    </x:xf>
    <x:xf numFmtId="202" fontId="16" fillId="5" borderId="0" xfId="0" applyNumberFormat="1" applyFont="1" applyFill="1" applyBorder="1" applyAlignment="1">
      <x:alignment wrapText="1"/>
    </x:xf>
    <x:xf numFmtId="0" fontId="16" fillId="6" borderId="0" xfId="0" applyNumberFormat="1" applyFont="1" applyFill="1" applyBorder="1" applyAlignment="1">
      <x:alignment wrapText="1"/>
    </x:xf>
    <x:xf numFmtId="203" fontId="16" fillId="5" borderId="0" xfId="0" applyNumberFormat="1" applyFont="1" applyFill="1" applyBorder="1" applyAlignment="1">
      <x:alignment wrapText="1"/>
    </x:xf>
    <x:xf numFmtId="201" fontId="16" fillId="5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 applyAlignment="1">
      <x:alignment vertical="top" wrapText="1"/>
    </x:xf>
    <x:xf numFmtId="0" fontId="17" fillId="3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4" borderId="0" xfId="0" applyNumberFormat="1" applyFont="1" applyFill="1" applyBorder="1" applyAlignment="1">
      <x:alignment vertical="top" wrapText="1"/>
    </x:xf>
    <x:xf numFmtId="200" fontId="16" fillId="5" borderId="0" xfId="0" applyNumberFormat="1" applyFont="1" applyFill="1" applyBorder="1" applyAlignment="1">
      <x:alignment vertical="top" wrapText="1"/>
    </x:xf>
    <x:xf numFmtId="0" fontId="17" fillId="4" borderId="0" xfId="0" applyNumberFormat="1" applyFont="1" applyFill="1" applyBorder="1" applyAlignment="1">
      <x:alignment vertical="top" wrapText="1"/>
    </x:xf>
    <x:xf numFmtId="202" fontId="18" fillId="5" borderId="0" xfId="0" applyNumberFormat="1" applyFont="1" applyFill="1" applyBorder="1" applyAlignment="1">
      <x:alignment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2" fontId="16" fillId="5" borderId="0" xfId="0" applyNumberFormat="1" applyFont="1" applyFill="1" applyBorder="1" applyAlignment="1">
      <x:alignment vertical="top" wrapText="1"/>
    </x:xf>
    <x:xf numFmtId="0" fontId="16" fillId="6" borderId="0" xfId="0" applyNumberFormat="1" applyFont="1" applyFill="1" applyBorder="1" applyAlignment="1">
      <x:alignment vertical="top" wrapText="1"/>
    </x:xf>
    <x:xf numFmtId="203" fontId="16" fillId="5" borderId="0" xfId="0" applyNumberFormat="1" applyFont="1" applyFill="1" applyBorder="1" applyAlignment="1">
      <x:alignment vertical="top" wrapText="1"/>
    </x:xf>
    <x:xf numFmtId="201" fontId="16" fillId="5" borderId="0" xfId="0" applyNumberFormat="1" applyFont="1" applyFill="1" applyBorder="1" applyAlignment="1">
      <x:alignment vertical="top" wrapText="1"/>
    </x:xf>
    <x:xf numFmtId="0" fontId="19" fillId="4" borderId="0" xfId="0" applyNumberFormat="1" applyFont="1" applyFill="1" applyBorder="1" applyAlignment="1">
      <x:alignment vertical="top" wrapText="1"/>
    </x:xf>
    <x:xf numFmtId="200" fontId="19" fillId="5" borderId="0" xfId="0" applyNumberFormat="1" applyFont="1" applyFill="1" applyBorder="1" applyAlignment="1">
      <x:alignment vertical="top" wrapText="1"/>
    </x:xf>
    <x:xf numFmtId="0" fontId="19" fillId="0" borderId="0" xfId="0" applyNumberFormat="1" applyFont="1" applyFill="1" applyBorder="1" applyAlignment="1">
      <x:alignment vertical="top" wrapText="1"/>
    </x:xf>
    <x:xf numFmtId="0" fontId="20" fillId="4" borderId="0" xfId="0" applyNumberFormat="1" applyFont="1" applyFill="1" applyBorder="1" applyAlignment="1">
      <x:alignment vertical="top" wrapText="1"/>
    </x:xf>
    <x:xf numFmtId="202" fontId="20" fillId="5" borderId="0" xfId="0" applyNumberFormat="1" applyFont="1" applyFill="1" applyBorder="1" applyAlignment="1">
      <x:alignment vertical="top" wrapText="1"/>
    </x:xf>
    <x:xf numFmtId="0" fontId="19" fillId="5" borderId="0" xfId="0" applyNumberFormat="1" applyFont="1" applyFill="1" applyBorder="1" applyAlignment="1">
      <x:alignment vertical="top" wrapText="1"/>
    </x:xf>
    <x:xf numFmtId="0" fontId="19" fillId="7" borderId="0" xfId="0" applyNumberFormat="1" applyFont="1" applyFill="1" applyBorder="1" applyAlignment="1">
      <x:alignment vertical="top" wrapText="1"/>
    </x:xf>
    <x:xf numFmtId="200" fontId="19" fillId="7" borderId="0" xfId="0" applyNumberFormat="1" applyFont="1" applyFill="1" applyBorder="1" applyAlignment="1">
      <x:alignment vertical="top" wrapText="1"/>
    </x:xf>
    <x:xf numFmtId="202" fontId="19" fillId="5" borderId="0" xfId="0" applyNumberFormat="1" applyFont="1" applyFill="1" applyBorder="1" applyAlignment="1">
      <x:alignment vertical="top" wrapText="1"/>
    </x:xf>
    <x:xf numFmtId="0" fontId="19" fillId="6" borderId="0" xfId="0" applyNumberFormat="1" applyFont="1" applyFill="1" applyBorder="1" applyAlignment="1">
      <x:alignment vertical="top" wrapText="1"/>
    </x:xf>
    <x:xf numFmtId="0" fontId="20" fillId="3" borderId="0" xfId="0" applyNumberFormat="1" applyFont="1" applyFill="1" applyBorder="1" applyAlignment="1">
      <x:alignment vertical="top" wrapText="1"/>
    </x:xf>
    <x:xf numFmtId="203" fontId="19" fillId="5" borderId="0" xfId="0" applyNumberFormat="1" applyFont="1" applyFill="1" applyBorder="1" applyAlignment="1">
      <x:alignment vertical="top" wrapText="1"/>
    </x:xf>
    <x:xf numFmtId="201" fontId="19" fillId="5" borderId="0" xfId="0" applyNumberFormat="1" applyFont="1" applyFill="1" applyBorder="1" applyAlignment="1">
      <x:alignment vertical="top" wrapText="1"/>
    </x:xf>
    <x:xf numFmtId="200" fontId="20" fillId="5" borderId="0" xfId="0" applyNumberFormat="1" applyFont="1" applyFill="1" applyBorder="1" applyAlignment="1">
      <x:alignment vertical="top" wrapText="1"/>
    </x:xf>
    <x:xf numFmtId="0" fontId="20" fillId="5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 applyAlignment="1">
      <x:alignment vertical="top" wrapText="1"/>
    </x:xf>
    <x:xf numFmtId="0" fontId="21" fillId="3" borderId="0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 applyAlignment="1">
      <x:alignment vertical="top" wrapText="1"/>
    </x:xf>
    <x:xf numFmtId="0" fontId="12" fillId="3" borderId="2" xfId="0" applyNumberFormat="1" applyFont="1" applyFill="1" applyBorder="1" applyAlignment="1">
      <x:alignment vertical="top" wrapText="1"/>
    </x:xf>
    <x:xf numFmtId="0" fontId="19" fillId="4" borderId="3" xfId="0" applyNumberFormat="1" applyFont="1" applyFill="1" applyBorder="1" applyAlignment="1">
      <x:alignment vertical="top" wrapText="1"/>
    </x:xf>
    <x:xf numFmtId="0" fontId="19" fillId="6" borderId="3" xfId="0" applyNumberFormat="1" applyFont="1" applyFill="1" applyBorder="1" applyAlignment="1">
      <x:alignment vertical="top" wrapText="1"/>
    </x:xf>
    <x:xf numFmtId="0" fontId="19" fillId="4" borderId="4" xfId="0" applyNumberFormat="1" applyFont="1" applyFill="1" applyBorder="1" applyAlignment="1">
      <x:alignment vertical="top" wrapText="1"/>
    </x:xf>
    <x:xf numFmtId="0" fontId="19" fillId="6" borderId="4" xfId="0" applyNumberFormat="1" applyFont="1" applyFill="1" applyBorder="1" applyAlignment="1">
      <x:alignment vertical="top" wrapText="1"/>
    </x:xf>
    <x:xf numFmtId="0" fontId="12" fillId="3" borderId="5" xfId="0" applyNumberFormat="1" applyFont="1" applyFill="1" applyBorder="1" applyAlignment="1">
      <x:alignment vertical="top" wrapText="1"/>
    </x:xf>
    <x:xf numFmtId="0" fontId="19" fillId="4" borderId="6" xfId="0" applyNumberFormat="1" applyFont="1" applyFill="1" applyBorder="1" applyAlignment="1">
      <x:alignment vertical="top" wrapText="1"/>
    </x:xf>
    <x:xf numFmtId="0" fontId="19" fillId="4" borderId="7" xfId="0" applyNumberFormat="1" applyFont="1" applyFill="1" applyBorder="1" applyAlignment="1">
      <x:alignment vertical="top" wrapText="1"/>
    </x:xf>
    <x:xf numFmtId="0" fontId="12" fillId="3" borderId="8" xfId="0" applyNumberFormat="1" applyFont="1" applyFill="1" applyBorder="1" applyAlignment="1">
      <x:alignment vertical="top" wrapText="1"/>
    </x:xf>
    <x:xf numFmtId="0" fontId="19" fillId="4" borderId="9" xfId="0" applyNumberFormat="1" applyFont="1" applyFill="1" applyBorder="1" applyAlignment="1">
      <x:alignment vertical="top" wrapText="1"/>
    </x:xf>
    <x:xf numFmtId="0" fontId="19" fillId="4" borderId="10" xfId="0" applyNumberFormat="1" applyFont="1" applyFill="1" applyBorder="1" applyAlignment="1">
      <x:alignment vertical="top" wrapText="1"/>
    </x:xf>
    <x:xf numFmtId="0" fontId="12" fillId="3" borderId="11" xfId="0" applyNumberFormat="1" applyFont="1" applyFill="1" applyBorder="1" applyAlignment="1">
      <x:alignment vertical="top" wrapText="1"/>
    </x:xf>
    <x:xf numFmtId="200" fontId="20" fillId="5" borderId="12" xfId="0" applyNumberFormat="1" applyFont="1" applyFill="1" applyBorder="1" applyAlignment="1">
      <x:alignment vertical="top" wrapText="1"/>
    </x:xf>
    <x:xf numFmtId="202" fontId="20" fillId="5" borderId="12" xfId="0" applyNumberFormat="1" applyFont="1" applyFill="1" applyBorder="1" applyAlignment="1">
      <x:alignment vertical="top" wrapText="1"/>
    </x:xf>
    <x:xf numFmtId="0" fontId="20" fillId="5" borderId="12" xfId="0" applyNumberFormat="1" applyFont="1" applyFill="1" applyBorder="1" applyAlignment="1">
      <x:alignment vertical="top" wrapText="1"/>
    </x:xf>
    <x:xf numFmtId="0" fontId="19" fillId="6" borderId="13" xfId="0" applyNumberFormat="1" applyFont="1" applyFill="1" applyBorder="1" applyAlignment="1">
      <x:alignment vertical="top" wrapText="1"/>
    </x:xf>
    <x:xf numFmtId="0" fontId="12" fillId="3" borderId="14" xfId="0" applyNumberFormat="1" applyFont="1" applyFill="1" applyBorder="1" applyAlignment="1">
      <x:alignment vertical="top" wrapText="1"/>
    </x:xf>
    <x:xf numFmtId="200" fontId="20" fillId="5" borderId="15" xfId="0" applyNumberFormat="1" applyFont="1" applyFill="1" applyBorder="1" applyAlignment="1">
      <x:alignment vertical="top" wrapText="1"/>
    </x:xf>
    <x:xf numFmtId="202" fontId="20" fillId="5" borderId="15" xfId="0" applyNumberFormat="1" applyFont="1" applyFill="1" applyBorder="1" applyAlignment="1">
      <x:alignment vertical="top" wrapText="1"/>
    </x:xf>
    <x:xf numFmtId="0" fontId="20" fillId="5" borderId="15" xfId="0" applyNumberFormat="1" applyFont="1" applyFill="1" applyBorder="1" applyAlignment="1">
      <x:alignment vertical="top" wrapText="1"/>
    </x:xf>
    <x:xf numFmtId="0" fontId="19" fillId="6" borderId="16" xfId="0" applyNumberFormat="1" applyFont="1" applyFill="1" applyBorder="1" applyAlignment="1">
      <x:alignment vertical="top" wrapText="1"/>
    </x:xf>
    <x:xf numFmtId="0" fontId="19" fillId="5" borderId="3" xfId="0" applyNumberFormat="1" applyFont="1" applyFill="1" applyBorder="1" applyAlignment="1">
      <x:alignment vertical="top" wrapText="1"/>
    </x:xf>
    <x:xf numFmtId="0" fontId="19" fillId="0" borderId="3" xfId="0" applyNumberFormat="1" applyFont="1" applyFill="1" applyBorder="1" applyAlignment="1">
      <x:alignment vertical="top" wrapText="1"/>
    </x:xf>
    <x:xf numFmtId="0" fontId="19" fillId="5" borderId="4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vertical="top" wrapText="1"/>
    </x:xf>
    <x:xf numFmtId="0" fontId="20" fillId="4" borderId="6" xfId="0" applyNumberFormat="1" applyFont="1" applyFill="1" applyBorder="1" applyAlignment="1">
      <x:alignment vertical="top" wrapText="1"/>
    </x:xf>
    <x:xf numFmtId="0" fontId="20" fillId="4" borderId="9" xfId="0" applyNumberFormat="1" applyFont="1" applyFill="1" applyBorder="1" applyAlignment="1">
      <x:alignment vertical="top" wrapText="1"/>
    </x:xf>
    <x:xf numFmtId="0" fontId="19" fillId="0" borderId="12" xfId="0" applyNumberFormat="1" applyFont="1" applyFill="1" applyBorder="1" applyAlignment="1">
      <x:alignment vertical="top" wrapText="1"/>
    </x:xf>
    <x:xf numFmtId="0" fontId="19" fillId="0" borderId="13" xfId="0" applyNumberFormat="1" applyFont="1" applyFill="1" applyBorder="1" applyAlignment="1">
      <x:alignment vertical="top" wrapText="1"/>
    </x:xf>
    <x:xf numFmtId="0" fontId="19" fillId="0" borderId="15" xfId="0" applyNumberFormat="1" applyFont="1" applyFill="1" applyBorder="1" applyAlignment="1">
      <x:alignment vertical="top" wrapText="1"/>
    </x:xf>
    <x:xf numFmtId="0" fontId="19" fillId="0" borderId="16" xfId="0" applyNumberFormat="1" applyFont="1" applyFill="1" applyBorder="1" applyAlignment="1">
      <x:alignment vertical="top" wrapText="1"/>
    </x:xf>
    <x:xf numFmtId="0" fontId="21" fillId="3" borderId="1" xfId="0" applyNumberFormat="1" applyFont="1" applyFill="1" applyBorder="1" applyAlignment="1">
      <x:alignment vertical="top" wrapText="1"/>
    </x:xf>
    <x:xf numFmtId="0" fontId="21" fillId="3" borderId="2" xfId="0" applyNumberFormat="1" applyFont="1" applyFill="1" applyBorder="1" applyAlignment="1">
      <x:alignment vertical="top" wrapText="1"/>
    </x:xf>
    <x:xf numFmtId="0" fontId="21" fillId="3" borderId="5" xfId="0" applyNumberFormat="1" applyFont="1" applyFill="1" applyBorder="1" applyAlignment="1">
      <x:alignment vertical="top" wrapText="1"/>
    </x:xf>
    <x:xf numFmtId="0" fontId="21" fillId="3" borderId="8" xfId="0" applyNumberFormat="1" applyFont="1" applyFill="1" applyBorder="1" applyAlignment="1">
      <x:alignment vertical="top" wrapText="1"/>
    </x:xf>
    <x:xf numFmtId="0" fontId="21" fillId="3" borderId="11" xfId="0" applyNumberFormat="1" applyFont="1" applyFill="1" applyBorder="1" applyAlignment="1">
      <x:alignment vertical="top" wrapText="1"/>
    </x:xf>
    <x:xf numFmtId="0" fontId="19" fillId="6" borderId="12" xfId="0" applyNumberFormat="1" applyFont="1" applyFill="1" applyBorder="1" applyAlignment="1">
      <x:alignment vertical="top" wrapText="1"/>
    </x:xf>
    <x:xf numFmtId="0" fontId="21" fillId="3" borderId="14" xfId="0" applyNumberFormat="1" applyFont="1" applyFill="1" applyBorder="1" applyAlignment="1">
      <x:alignment vertical="top" wrapText="1"/>
    </x:xf>
    <x:xf numFmtId="0" fontId="19" fillId="6" borderId="15" xfId="0" applyNumberFormat="1" applyFont="1" applyFill="1" applyBorder="1" applyAlignment="1">
      <x:alignment vertical="top" wrapText="1"/>
    </x:xf>
    <x:xf numFmtId="0" fontId="19" fillId="5" borderId="6" xfId="0" applyNumberFormat="1" applyFont="1" applyFill="1" applyBorder="1" applyAlignment="1">
      <x:alignment vertical="top" wrapText="1"/>
    </x:xf>
    <x:xf numFmtId="0" fontId="19" fillId="5" borderId="7" xfId="0" applyNumberFormat="1" applyFont="1" applyFill="1" applyBorder="1" applyAlignment="1">
      <x:alignment vertical="top" wrapText="1"/>
    </x:xf>
    <x:xf numFmtId="0" fontId="19" fillId="5" borderId="9" xfId="0" applyNumberFormat="1" applyFont="1" applyFill="1" applyBorder="1" applyAlignment="1">
      <x:alignment vertical="top" wrapText="1"/>
    </x:xf>
    <x:xf numFmtId="0" fontId="19" fillId="5" borderId="10" xfId="0" applyNumberFormat="1" applyFont="1" applyFill="1" applyBorder="1" applyAlignment="1">
      <x:alignment vertical="top" wrapText="1"/>
    </x:xf>
    <x:xf numFmtId="0" fontId="12" fillId="3" borderId="17" xfId="0" applyNumberFormat="1" applyFont="1" applyFill="1" applyBorder="1" applyAlignment="1">
      <x:alignment vertical="top" wrapText="1"/>
    </x:xf>
    <x:xf numFmtId="0" fontId="19" fillId="5" borderId="18" xfId="0" applyNumberFormat="1" applyFont="1" applyFill="1" applyBorder="1" applyAlignment="1">
      <x:alignment vertical="top" wrapText="1"/>
    </x:xf>
    <x:xf numFmtId="0" fontId="19" fillId="5" borderId="19" xfId="0" applyNumberFormat="1" applyFont="1" applyFill="1" applyBorder="1" applyAlignment="1">
      <x:alignment vertical="top" wrapText="1"/>
    </x:xf>
    <x:xf numFmtId="0" fontId="12" fillId="3" borderId="20" xfId="0" applyNumberFormat="1" applyFont="1" applyFill="1" applyBorder="1" applyAlignment="1">
      <x:alignment vertical="top" wrapText="1"/>
    </x:xf>
    <x:xf numFmtId="0" fontId="19" fillId="5" borderId="21" xfId="0" applyNumberFormat="1" applyFont="1" applyFill="1" applyBorder="1" applyAlignment="1">
      <x:alignment vertical="top" wrapText="1"/>
    </x:xf>
    <x:xf numFmtId="0" fontId="19" fillId="5" borderId="22" xfId="0" applyNumberFormat="1" applyFont="1" applyFill="1" applyBorder="1" applyAlignment="1">
      <x:alignment vertical="top" wrapText="1"/>
    </x:xf>
    <x:xf numFmtId="0" fontId="19" fillId="7" borderId="3" xfId="0" applyNumberFormat="1" applyFont="1" applyFill="1" applyBorder="1" applyAlignment="1">
      <x:alignment vertical="top" wrapText="1"/>
    </x:xf>
    <x:xf numFmtId="200" fontId="19" fillId="7" borderId="3" xfId="0" applyNumberFormat="1" applyFont="1" applyFill="1" applyBorder="1" applyAlignment="1">
      <x:alignment vertical="top" wrapText="1"/>
    </x:xf>
    <x:xf numFmtId="0" fontId="19" fillId="7" borderId="4" xfId="0" applyNumberFormat="1" applyFont="1" applyFill="1" applyBorder="1" applyAlignment="1">
      <x:alignment vertical="top" wrapText="1"/>
    </x:xf>
    <x:xf numFmtId="200" fontId="19" fillId="7" borderId="4" xfId="0" applyNumberFormat="1" applyFont="1" applyFill="1" applyBorder="1" applyAlignment="1">
      <x:alignment vertical="top" wrapText="1"/>
    </x:xf>
    <x:xf numFmtId="0" fontId="19" fillId="7" borderId="6" xfId="0" applyNumberFormat="1" applyFont="1" applyFill="1" applyBorder="1" applyAlignment="1">
      <x:alignment vertical="top" wrapText="1"/>
    </x:xf>
    <x:xf numFmtId="0" fontId="19" fillId="7" borderId="7" xfId="0" applyNumberFormat="1" applyFont="1" applyFill="1" applyBorder="1" applyAlignment="1">
      <x:alignment vertical="top" wrapText="1"/>
    </x:xf>
    <x:xf numFmtId="0" fontId="19" fillId="7" borderId="9" xfId="0" applyNumberFormat="1" applyFont="1" applyFill="1" applyBorder="1" applyAlignment="1">
      <x:alignment vertical="top" wrapText="1"/>
    </x:xf>
    <x:xf numFmtId="0" fontId="19" fillId="7" borderId="10" xfId="0" applyNumberFormat="1" applyFont="1" applyFill="1" applyBorder="1" applyAlignment="1">
      <x:alignment vertical="top" wrapText="1"/>
    </x:xf>
    <x:xf numFmtId="0" fontId="19" fillId="7" borderId="12" xfId="0" applyNumberFormat="1" applyFont="1" applyFill="1" applyBorder="1" applyAlignment="1">
      <x:alignment vertical="top" wrapText="1"/>
    </x:xf>
    <x:xf numFmtId="0" fontId="19" fillId="7" borderId="13" xfId="0" applyNumberFormat="1" applyFont="1" applyFill="1" applyBorder="1" applyAlignment="1">
      <x:alignment vertical="top" wrapText="1"/>
    </x:xf>
    <x:xf numFmtId="0" fontId="19" fillId="7" borderId="15" xfId="0" applyNumberFormat="1" applyFont="1" applyFill="1" applyBorder="1" applyAlignment="1">
      <x:alignment vertical="top" wrapText="1"/>
    </x:xf>
    <x:xf numFmtId="0" fontId="19" fillId="7" borderId="16" xfId="0" applyNumberFormat="1" applyFont="1" applyFill="1" applyBorder="1" applyAlignment="1">
      <x:alignment vertical="top" wrapText="1"/>
    </x:xf>
    <x:xf numFmtId="0" fontId="22" fillId="2" borderId="0" xfId="0" applyNumberFormat="1" applyFont="1" applyFill="1" applyBorder="1"/>
    <x:xf numFmtId="0" fontId="6" fillId="2" borderId="0" xfId="0" applyNumberFormat="1" applyFont="1" applyFill="1" applyBorder="1"/>
    <x:xf numFmtId="0" fontId="17" fillId="3" borderId="1" xfId="0" applyNumberFormat="1" applyFont="1" applyFill="1" applyBorder="1" applyAlignment="1">
      <x:alignment wrapText="1"/>
    </x:xf>
    <x:xf numFmtId="0" fontId="17" fillId="3" borderId="2" xfId="0" applyNumberFormat="1" applyFont="1" applyFill="1" applyBorder="1" applyAlignment="1">
      <x:alignment wrapText="1"/>
    </x:xf>
    <x:xf numFmtId="0" fontId="16" fillId="7" borderId="3" xfId="0" applyNumberFormat="1" applyFont="1" applyFill="1" applyBorder="1" applyAlignment="1">
      <x:alignment wrapText="1"/>
    </x:xf>
    <x:xf numFmtId="200" fontId="16" fillId="7" borderId="3" xfId="0" applyNumberFormat="1" applyFont="1" applyFill="1" applyBorder="1" applyAlignment="1">
      <x:alignment wrapText="1"/>
    </x:xf>
    <x:xf numFmtId="0" fontId="16" fillId="7" borderId="4" xfId="0" applyNumberFormat="1" applyFont="1" applyFill="1" applyBorder="1" applyAlignment="1">
      <x:alignment wrapText="1"/>
    </x:xf>
    <x:xf numFmtId="200" fontId="16" fillId="7" borderId="4" xfId="0" applyNumberFormat="1" applyFont="1" applyFill="1" applyBorder="1" applyAlignment="1">
      <x:alignment wrapText="1"/>
    </x:xf>
    <x:xf numFmtId="0" fontId="17" fillId="3" borderId="5" xfId="0" applyNumberFormat="1" applyFont="1" applyFill="1" applyBorder="1" applyAlignment="1">
      <x:alignment wrapText="1"/>
    </x:xf>
    <x:xf numFmtId="0" fontId="16" fillId="7" borderId="6" xfId="0" applyNumberFormat="1" applyFont="1" applyFill="1" applyBorder="1" applyAlignment="1">
      <x:alignment wrapText="1"/>
    </x:xf>
    <x:xf numFmtId="0" fontId="16" fillId="7" borderId="7" xfId="0" applyNumberFormat="1" applyFont="1" applyFill="1" applyBorder="1" applyAlignment="1">
      <x:alignment wrapText="1"/>
    </x:xf>
    <x:xf numFmtId="0" fontId="17" fillId="3" borderId="8" xfId="0" applyNumberFormat="1" applyFont="1" applyFill="1" applyBorder="1" applyAlignment="1">
      <x:alignment wrapText="1"/>
    </x:xf>
    <x:xf numFmtId="0" fontId="16" fillId="7" borderId="9" xfId="0" applyNumberFormat="1" applyFont="1" applyFill="1" applyBorder="1" applyAlignment="1">
      <x:alignment wrapText="1"/>
    </x:xf>
    <x:xf numFmtId="0" fontId="16" fillId="7" borderId="10" xfId="0" applyNumberFormat="1" applyFont="1" applyFill="1" applyBorder="1" applyAlignment="1">
      <x:alignment wrapText="1"/>
    </x:xf>
    <x:xf numFmtId="0" fontId="17" fillId="3" borderId="11" xfId="0" applyNumberFormat="1" applyFont="1" applyFill="1" applyBorder="1" applyAlignment="1">
      <x:alignment wrapText="1"/>
    </x:xf>
    <x:xf numFmtId="0" fontId="16" fillId="7" borderId="12" xfId="0" applyNumberFormat="1" applyFont="1" applyFill="1" applyBorder="1" applyAlignment="1">
      <x:alignment wrapText="1"/>
    </x:xf>
    <x:xf numFmtId="0" fontId="16" fillId="7" borderId="13" xfId="0" applyNumberFormat="1" applyFont="1" applyFill="1" applyBorder="1" applyAlignment="1">
      <x:alignment wrapText="1"/>
    </x:xf>
    <x:xf numFmtId="0" fontId="17" fillId="3" borderId="14" xfId="0" applyNumberFormat="1" applyFont="1" applyFill="1" applyBorder="1" applyAlignment="1">
      <x:alignment wrapText="1"/>
    </x:xf>
    <x:xf numFmtId="0" fontId="16" fillId="7" borderId="15" xfId="0" applyNumberFormat="1" applyFont="1" applyFill="1" applyBorder="1" applyAlignment="1">
      <x:alignment wrapText="1"/>
    </x:xf>
    <x:xf numFmtId="0" fontId="16" fillId="7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c758321b34eb3" /><Relationship Type="http://schemas.openxmlformats.org/officeDocument/2006/relationships/theme" Target="/xl/theme/theme1.xml" Id="Re493d3f1bffb43e5" /><Relationship Type="http://schemas.openxmlformats.org/officeDocument/2006/relationships/sharedStrings" Target="/xl/sharedStrings.xml" Id="Ra562698fb1504a54" /><Relationship Type="http://schemas.openxmlformats.org/officeDocument/2006/relationships/worksheet" Target="/xl/worksheets/sheet1.xml" Id="R8665ba7be6664d0a" /><Relationship Type="http://schemas.openxmlformats.org/officeDocument/2006/relationships/worksheet" Target="/xl/worksheets/sheet2.xml" Id="Rf9ef460ddbd647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9.020000457763672" hidden="0" customWidth="1"/>
    <x:col min="3" max="3" width="36.20000076293945" hidden="0" customWidth="1"/>
    <x:col min="4" max="4" width="20.25" hidden="0" customWidth="1"/>
    <x:col min="5" max="5" width="28.829999923706055" hidden="0" customWidth="1"/>
    <x:col min="6" max="6" width="2.3299999237060547" hidden="0" customWidth="1"/>
    <x:col min="8" max="8" width="33.7400016784668" hidden="0" customWidth="1"/>
    <x:col min="10" max="10" width="8.220000267028809" hidden="0" customWidth="1"/>
    <x:col min="11" max="11" width="15.34000015258789" hidden="0" customWidth="1"/>
    <x:col min="12" max="12" width="15.34000015258789" hidden="0" customWidth="1"/>
  </x:cols>
  <x:sheetData>
    <x:row r="1" ht="25.5" customHeight="1">
      <x:c r="A1" s="101" t="str">
        <x:v>ตรวจสูตรคำนวณดอกเบี้ยจำนำ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</x:row>
    <x:row r="2" ht="25.5" customHeight="1">
      <x:c r="A2" s="102" t="str">
        <x:v>ใช้ชีตนี้เพื่อตรวจสูตรดอกเบี้ยจำนำ ปรับช่องสีอ่อนด้านซ้ายเพื่อทดสอบผลลัพธ์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</x:row>
    <x:row r="3">
      <x:c r="A3" s="114" t="str">
        <x:v>ข้อมูลที่กรอก</x:v>
      </x:c>
      <x:c r="B3" s="122"/>
      <x:c r="C3" s="74"/>
      <x:c r="D3" s="114" t="str">
        <x:v>ผลลัพธ์</x:v>
      </x:c>
      <x:c r="E3" s="106"/>
      <x:c r="F3" s="122"/>
      <x:c r="G3" s="74"/>
      <x:c r="H3" s="152" t="str">
        <x:v>วิธีอ่านชีต</x:v>
      </x:c>
      <x:c r="I3" s="74"/>
      <x:c r="J3" s="114" t="str">
        <x:v>เดือนที่</x:v>
      </x:c>
      <x:c r="K3" s="106" t="str">
        <x:v>วันครบรอบ</x:v>
      </x:c>
      <x:c r="L3" s="122" t="str">
        <x:v>วันเกินจากรอบ</x:v>
      </x:c>
    </x:row>
    <x:row r="4" ht="18" customHeight="1">
      <x:c r="A4" s="115" t="str">
        <x:v>วันเริ่ม / ต่อดอกล่าสุด</x:v>
      </x:c>
      <x:c r="B4" s="123" t="n">
        <x:v>46139</x:v>
      </x:c>
      <x:c r="C4" s="88"/>
      <x:c r="D4" s="132" t="str">
        <x:v>ดอกเบี้ยที่ต้องชำระ</x:v>
      </x:c>
      <x:c r="E4" s="90" t="n">
        <x:f>IF($B$29="blocked","ไม่สามารถไถ่ได้",$B$32)</x:f>
        <x:v>150</x:v>
      </x:c>
      <x:c r="F4" s="135"/>
      <x:c r="G4" s="88"/>
      <x:c r="H4" s="153" t="str">
        <x:v>1. แก้ช่องสีครีม B4:B8 เพื่อทดสอบ</x:v>
      </x:c>
      <x:c r="I4" s="88"/>
      <x:c r="J4" s="161" t="n">
        <x:v>0</x:v>
      </x:c>
      <x:c r="K4" s="93" t="n">
        <x:f>IF($B$4="","",$B$4)</x:f>
        <x:v>46139</x:v>
      </x:c>
      <x:c r="L4" s="165" t="n">
        <x:f>IF(OR($K4="",$B$8&lt;$K4),"",MAX(0,$B$8-$K4))</x:f>
        <x:v>16</x:v>
      </x:c>
    </x:row>
    <x:row r="5" ht="18" customHeight="1">
      <x:c r="A5" s="115" t="str">
        <x:v>ยอดจำนำ</x:v>
      </x:c>
      <x:c r="B5" s="124" t="n">
        <x:v>10000</x:v>
      </x:c>
      <x:c r="C5" s="88"/>
      <x:c r="D5" s="115" t="str">
        <x:v>ระยะเวลาทั้งสิ้น</x:v>
      </x:c>
      <x:c r="E5" s="91" t="str">
        <x:f>IF($B$4="","",$B$20&amp;" เดือน "&amp;$B$25&amp;" วัน")</x:f>
        <x:v>0 เดือน 16 วัน</x:v>
      </x:c>
      <x:c r="F5" s="135"/>
      <x:c r="G5" s="88"/>
      <x:c r="H5" s="153" t="str">
        <x:v>2. ดูผลลัพธ์หลักที่ D4:E14</x:v>
      </x:c>
      <x:c r="I5" s="88"/>
      <x:c r="J5" s="161" t="n">
        <x:v>1</x:v>
      </x:c>
      <x:c r="K5" s="93" t="n">
        <x:f>IF($B$4="","",DATE(YEAR($B$4),MONTH($B$4)+J5,MIN(DAY($B$4),DAY(EOMONTH(DATE(YEAR($B$4),MONTH($B$4)+J5,1),0)))))</x:f>
        <x:v>46169</x:v>
      </x:c>
      <x:c r="L5" s="165" t="str">
        <x:f>IF(OR($K5="",$B$8&lt;$K5),"",MAX(0,$B$8-$K5))</x:f>
      </x:c>
    </x:row>
    <x:row r="6" ht="18" customHeight="1">
      <x:c r="A6" s="115" t="str">
        <x:v>โปรโมชัน</x:v>
      </x:c>
      <x:c r="B6" s="125" t="str">
        <x:v>โปรแสน (1.5%)</x:v>
      </x:c>
      <x:c r="C6" s="88"/>
      <x:c r="D6" s="115" t="str">
        <x:v>วิธีคิด</x:v>
      </x:c>
      <x:c r="E6" s="91" t="str">
        <x:f>$B$33</x:f>
        <x:v>ปัดเต็มเดือน โปร 1.5%</x:v>
      </x:c>
      <x:c r="F6" s="135"/>
      <x:c r="G6" s="88"/>
      <x:c r="H6" s="153" t="str">
        <x:v>3. ตรวจสูตรละเอียดที่ A14:C36</x:v>
      </x:c>
      <x:c r="I6" s="88"/>
      <x:c r="J6" s="161" t="n">
        <x:v>2</x:v>
      </x:c>
      <x:c r="K6" s="93" t="n">
        <x:f>IF($B$4="","",DATE(YEAR($B$4),MONTH($B$4)+J6,MIN(DAY($B$4),DAY(EOMONTH(DATE(YEAR($B$4),MONTH($B$4)+J6,1),0)))))</x:f>
        <x:v>46200</x:v>
      </x:c>
      <x:c r="L6" s="165" t="str">
        <x:f>IF(OR($K6="",$B$8&lt;$K6),"",MAX(0,$B$8-$K6))</x:f>
      </x:c>
    </x:row>
    <x:row r="7" ht="18" customHeight="1">
      <x:c r="A7" s="115" t="str">
        <x:v>รายการ</x:v>
      </x:c>
      <x:c r="B7" s="125" t="str">
        <x:v>ไถ่ของ</x:v>
      </x:c>
      <x:c r="C7" s="88"/>
      <x:c r="D7" s="115" t="str">
        <x:v>การคำนวน</x:v>
      </x:c>
      <x:c r="E7" s="91" t="str">
        <x:f>$B$34</x:f>
        <x:v>10,000 × 1.5% × 1 เดือน</x:v>
      </x:c>
      <x:c r="F7" s="135"/>
      <x:c r="G7" s="88"/>
      <x:c r="H7" s="153" t="str">
        <x:v>4. ตาราง J:L คือรอบครบรอบรายเดือน</x:v>
      </x:c>
      <x:c r="I7" s="88"/>
      <x:c r="J7" s="161" t="n">
        <x:v>3</x:v>
      </x:c>
      <x:c r="K7" s="93" t="n">
        <x:f>IF($B$4="","",DATE(YEAR($B$4),MONTH($B$4)+J7,MIN(DAY($B$4),DAY(EOMONTH(DATE(YEAR($B$4),MONTH($B$4)+J7,1),0)))))</x:f>
        <x:v>46230</x:v>
      </x:c>
      <x:c r="L7" s="165" t="str">
        <x:f>IF(OR($K7="",$B$8&lt;$K7),"",MAX(0,$B$8-$K7))</x:f>
      </x:c>
    </x:row>
    <x:row r="8" ht="18" customHeight="1">
      <x:c r="A8" s="115" t="str">
        <x:v>วันที่ทำรายการ</x:v>
      </x:c>
      <x:c r="B8" s="123" t="n">
        <x:f>TODAY()</x:f>
        <x:v>46155</x:v>
      </x:c>
      <x:c r="C8" s="88"/>
      <x:c r="D8" s="115" t="str">
        <x:v>สถานะสัญญา</x:v>
      </x:c>
      <x:c r="E8" s="91" t="str">
        <x:f>$B$28</x:f>
        <x:v>ภายในระยะเวลา</x:v>
      </x:c>
      <x:c r="F8" s="135"/>
      <x:c r="G8" s="88"/>
      <x:c r="H8" s="153" t="str">
        <x:v>5. สูตรไม่หารจำนวนวันด้วย 30</x:v>
      </x:c>
      <x:c r="I8" s="88"/>
      <x:c r="J8" s="161" t="n">
        <x:v>4</x:v>
      </x:c>
      <x:c r="K8" s="93" t="n">
        <x:f>IF($B$4="","",DATE(YEAR($B$4),MONTH($B$4)+J8,MIN(DAY($B$4),DAY(EOMONTH(DATE(YEAR($B$4),MONTH($B$4)+J8,1),0)))))</x:f>
        <x:v>46261</x:v>
      </x:c>
      <x:c r="L8" s="165" t="str">
        <x:f>IF(OR($K8="",$B$8&lt;$K8),"",MAX(0,$B$8-$K8))</x:f>
      </x:c>
    </x:row>
    <x:row r="9" ht="18" customHeight="1">
      <x:c r="A9" s="116" t="str">
        <x:v>หมายเหตุ</x:v>
      </x:c>
      <x:c r="B9" s="126" t="str">
        <x:v>วันที่ทำรายการใช้ TODAY() เหมือนในเว็บ</x:v>
      </x:c>
      <x:c r="C9" s="88"/>
      <x:c r="D9" s="115" t="str">
        <x:v>สถานะไถ่ของ</x:v>
      </x:c>
      <x:c r="E9" s="91" t="str">
        <x:f>IF($B$29="blocked","ไม่สามารถไถ่ได้","สามารถไถ่ได้")</x:f>
        <x:v>สามารถไถ่ได้</x:v>
      </x:c>
      <x:c r="F9" s="135"/>
      <x:c r="G9" s="88"/>
      <x:c r="H9" s="153" t="str">
        <x:v>6. สูตรใช้วันครบรอบตามปฏิทิน</x:v>
      </x:c>
      <x:c r="I9" s="88"/>
      <x:c r="J9" s="161" t="n">
        <x:v>5</x:v>
      </x:c>
      <x:c r="K9" s="93" t="n">
        <x:f>IF($B$4="","",DATE(YEAR($B$4),MONTH($B$4)+J9,MIN(DAY($B$4),DAY(EOMONTH(DATE(YEAR($B$4),MONTH($B$4)+J9,1),0)))))</x:f>
        <x:v>46292</x:v>
      </x:c>
      <x:c r="L9" s="165" t="str">
        <x:f>IF(OR($K9="",$B$8&lt;$K9),"",MAX(0,$B$8-$K9))</x:f>
      </x:c>
    </x:row>
    <x:row r="10" ht="18" customHeight="1">
      <x:c r="A10" s="88"/>
      <x:c r="B10" s="88"/>
      <x:c r="C10" s="88"/>
      <x:c r="D10" s="115"/>
      <x:c r="E10" s="91"/>
      <x:c r="F10" s="135"/>
      <x:c r="G10" s="88"/>
      <x:c r="H10" s="154" t="str">
        <x:v>7. ถ้ากติกาเปลี่ยน ให้แก้สูตรแถว 14-36</x:v>
      </x:c>
      <x:c r="I10" s="88"/>
      <x:c r="J10" s="161" t="n">
        <x:v>6</x:v>
      </x:c>
      <x:c r="K10" s="93" t="n">
        <x:f>IF($B$4="","",DATE(YEAR($B$4),MONTH($B$4)+J10,MIN(DAY($B$4),DAY(EOMONTH(DATE(YEAR($B$4),MONTH($B$4)+J10,1),0)))))</x:f>
        <x:v>46322</x:v>
      </x:c>
      <x:c r="L10" s="165" t="str">
        <x:f>IF(OR($K10="",$B$8&lt;$K10),"",MAX(0,$B$8-$K10))</x:f>
      </x:c>
    </x:row>
    <x:row r="11" ht="18" customHeight="1">
      <x:c r="A11" s="88"/>
      <x:c r="B11" s="88"/>
      <x:c r="C11" s="88"/>
      <x:c r="D11" s="115"/>
      <x:c r="E11" s="91"/>
      <x:c r="F11" s="135"/>
      <x:c r="G11" s="88"/>
      <x:c r="H11" s="88"/>
      <x:c r="I11" s="88"/>
      <x:c r="J11" s="161" t="n">
        <x:v>7</x:v>
      </x:c>
      <x:c r="K11" s="93" t="n">
        <x:f>IF($B$4="","",DATE(YEAR($B$4),MONTH($B$4)+J11,MIN(DAY($B$4),DAY(EOMONTH(DATE(YEAR($B$4),MONTH($B$4)+J11,1),0)))))</x:f>
        <x:v>46353</x:v>
      </x:c>
      <x:c r="L11" s="165" t="str">
        <x:f>IF(OR($K11="",$B$8&lt;$K11),"",MAX(0,$B$8-$K11))</x:f>
      </x:c>
    </x:row>
    <x:row r="12" ht="18" customHeight="1">
      <x:c r="A12" s="88"/>
      <x:c r="B12" s="88"/>
      <x:c r="C12" s="88"/>
      <x:c r="D12" s="115"/>
      <x:c r="E12" s="91"/>
      <x:c r="F12" s="135"/>
      <x:c r="G12" s="88"/>
      <x:c r="H12" s="88"/>
      <x:c r="I12" s="88"/>
      <x:c r="J12" s="161" t="n">
        <x:v>8</x:v>
      </x:c>
      <x:c r="K12" s="93" t="n">
        <x:f>IF($B$4="","",DATE(YEAR($B$4),MONTH($B$4)+J12,MIN(DAY($B$4),DAY(EOMONTH(DATE(YEAR($B$4),MONTH($B$4)+J12,1),0)))))</x:f>
        <x:v>46383</x:v>
      </x:c>
      <x:c r="L12" s="165" t="str">
        <x:f>IF(OR($K12="",$B$8&lt;$K12),"",MAX(0,$B$8-$K12))</x:f>
      </x:c>
    </x:row>
    <x:row r="13" ht="18" customHeight="1">
      <x:c r="A13" s="140" t="str">
        <x:v>ขั้นตอน</x:v>
      </x:c>
      <x:c r="B13" s="138" t="str">
        <x:v>ค่า</x:v>
      </x:c>
      <x:c r="C13" s="143" t="str">
        <x:v>หมายเหตุ</x:v>
      </x:c>
      <x:c r="D13" s="115"/>
      <x:c r="E13" s="91"/>
      <x:c r="F13" s="135"/>
      <x:c r="G13" s="88"/>
      <x:c r="H13" s="88"/>
      <x:c r="I13" s="88"/>
      <x:c r="J13" s="161" t="n">
        <x:v>9</x:v>
      </x:c>
      <x:c r="K13" s="93" t="n">
        <x:f>IF($B$4="","",DATE(YEAR($B$4),MONTH($B$4)+J13,MIN(DAY($B$4),DAY(EOMONTH(DATE(YEAR($B$4),MONTH($B$4)+J13,1),0)))))</x:f>
        <x:v>46414</x:v>
      </x:c>
      <x:c r="L13" s="165" t="str">
        <x:f>IF(OR($K13="",$B$8&lt;$K13),"",MAX(0,$B$8-$K13))</x:f>
      </x:c>
    </x:row>
    <x:row r="14" ht="18" customHeight="1">
      <x:c r="A14" s="115" t="str">
        <x:v>อัตราโปรโมชัน</x:v>
      </x:c>
      <x:c r="B14" s="97" t="n">
        <x:f>SWITCH($B$6,"โปร 2%",2%,"โปรแสน (1.5%)",1.5%,0)</x:f>
        <x:v>0.015</x:v>
      </x:c>
      <x:c r="C14" s="144" t="str">
        <x:v>เลือกจากโปรโมชัน</x:v>
      </x:c>
      <x:c r="D14" s="116"/>
      <x:c r="E14" s="129"/>
      <x:c r="F14" s="136"/>
      <x:c r="G14" s="88"/>
      <x:c r="H14" s="88"/>
      <x:c r="I14" s="88"/>
      <x:c r="J14" s="161" t="n">
        <x:v>10</x:v>
      </x:c>
      <x:c r="K14" s="93" t="n">
        <x:f>IF($B$4="","",DATE(YEAR($B$4),MONTH($B$4)+J14,MIN(DAY($B$4),DAY(EOMONTH(DATE(YEAR($B$4),MONTH($B$4)+J14,1),0)))))</x:f>
        <x:v>46445</x:v>
      </x:c>
      <x:c r="L14" s="165" t="str">
        <x:f>IF(OR($K14="",$B$8&lt;$K14),"",MAX(0,$B$8-$K14))</x:f>
      </x:c>
    </x:row>
    <x:row r="15" ht="18" customHeight="1">
      <x:c r="A15" s="115" t="str">
        <x:v>อัตราปรับ</x:v>
      </x:c>
      <x:c r="B15" s="97" t="n">
        <x:f>3%</x:f>
        <x:v>0.03</x:v>
      </x:c>
      <x:c r="C15" s="144" t="str">
        <x:v>ใช้เมื่อ ต่อดอก เกินครบสัญญามากกว่า 20 วัน</x:v>
      </x:c>
      <x:c r="D15" s="88"/>
      <x:c r="E15" s="88"/>
      <x:c r="F15" s="88"/>
      <x:c r="G15" s="88"/>
      <x:c r="H15" s="88"/>
      <x:c r="I15" s="88"/>
      <x:c r="J15" s="161" t="n">
        <x:v>11</x:v>
      </x:c>
      <x:c r="K15" s="93" t="n">
        <x:f>IF($B$4="","",DATE(YEAR($B$4),MONTH($B$4)+J15,MIN(DAY($B$4),DAY(EOMONTH(DATE(YEAR($B$4),MONTH($B$4)+J15,1),0)))))</x:f>
        <x:v>46473</x:v>
      </x:c>
      <x:c r="L15" s="165" t="str">
        <x:f>IF(OR($K15="",$B$8&lt;$K15),"",MAX(0,$B$8-$K15))</x:f>
      </x:c>
    </x:row>
    <x:row r="16" ht="18" customHeight="1">
      <x:c r="A16" s="115" t="str">
        <x:v>อัตรารายสัปดาห์</x:v>
      </x:c>
      <x:c r="B16" s="97" t="n">
        <x:f>1%</x:f>
        <x:v>0.01</x:v>
      </x:c>
      <x:c r="C16" s="144" t="str">
        <x:v>ใช้เมื่อ ไถ่ของ เกินรอบล่าสุด 1-7 วัน</x:v>
      </x:c>
      <x:c r="D16" s="88"/>
      <x:c r="E16" s="88"/>
      <x:c r="F16" s="88"/>
      <x:c r="G16" s="88"/>
      <x:c r="H16" s="88"/>
      <x:c r="I16" s="88"/>
      <x:c r="J16" s="161" t="n">
        <x:v>12</x:v>
      </x:c>
      <x:c r="K16" s="93" t="n">
        <x:f>IF($B$4="","",DATE(YEAR($B$4),MONTH($B$4)+J16,MIN(DAY($B$4),DAY(EOMONTH(DATE(YEAR($B$4),MONTH($B$4)+J16,1),0)))))</x:f>
        <x:v>46504</x:v>
      </x:c>
      <x:c r="L16" s="165" t="str">
        <x:f>IF(OR($K16="",$B$8&lt;$K16),"",MAX(0,$B$8-$K16))</x:f>
      </x:c>
    </x:row>
    <x:row r="17" ht="18" customHeight="1">
      <x:c r="A17" s="115" t="str">
        <x:v>อายุสัญญา</x:v>
      </x:c>
      <x:c r="B17" s="91" t="n">
        <x:f>3</x:f>
        <x:v>3</x:v>
      </x:c>
      <x:c r="C17" s="144" t="str">
        <x:v>เดือน</x:v>
      </x:c>
      <x:c r="D17" s="88"/>
      <x:c r="E17" s="88"/>
      <x:c r="F17" s="88"/>
      <x:c r="G17" s="88"/>
      <x:c r="H17" s="88"/>
      <x:c r="I17" s="88"/>
      <x:c r="J17" s="161" t="n">
        <x:v>13</x:v>
      </x:c>
      <x:c r="K17" s="93" t="n">
        <x:f>IF($B$4="","",DATE(YEAR($B$4),MONTH($B$4)+J17,MIN(DAY($B$4),DAY(EOMONTH(DATE(YEAR($B$4),MONTH($B$4)+J17,1),0)))))</x:f>
        <x:v>46534</x:v>
      </x:c>
      <x:c r="L17" s="165" t="str">
        <x:f>IF(OR($K17="",$B$8&lt;$K17),"",MAX(0,$B$8-$K17))</x:f>
      </x:c>
    </x:row>
    <x:row r="18" ht="18" customHeight="1">
      <x:c r="A18" s="115" t="str">
        <x:v>ระยะผ่อนผัน</x:v>
      </x:c>
      <x:c r="B18" s="91" t="n">
        <x:f>20</x:f>
        <x:v>20</x:v>
      </x:c>
      <x:c r="C18" s="144" t="str">
        <x:v>วัน หลังครบสัญญา</x:v>
      </x:c>
      <x:c r="D18" s="88"/>
      <x:c r="E18" s="88"/>
      <x:c r="F18" s="88"/>
      <x:c r="G18" s="88"/>
      <x:c r="H18" s="88"/>
      <x:c r="I18" s="88"/>
      <x:c r="J18" s="161" t="n">
        <x:v>14</x:v>
      </x:c>
      <x:c r="K18" s="93" t="n">
        <x:f>IF($B$4="","",DATE(YEAR($B$4),MONTH($B$4)+J18,MIN(DAY($B$4),DAY(EOMONTH(DATE(YEAR($B$4),MONTH($B$4)+J18,1),0)))))</x:f>
        <x:v>46565</x:v>
      </x:c>
      <x:c r="L18" s="165" t="str">
        <x:f>IF(OR($K18="",$B$8&lt;$K18),"",MAX(0,$B$8-$K18))</x:f>
      </x:c>
    </x:row>
    <x:row r="19" ht="18" customHeight="1">
      <x:c r="A19" s="115" t="str">
        <x:v>วันครบสัญญา</x:v>
      </x:c>
      <x:c r="B19" s="87" t="n">
        <x:f>IF($B$4="","",INDEX($K$4:$K$40,MATCH($B$17,$J$4:$J$40,0)))</x:f>
        <x:v>46230</x:v>
      </x:c>
      <x:c r="C19" s="144" t="str">
        <x:v>startDate + 3 เดือน แบบ calendar anniversary</x:v>
      </x:c>
      <x:c r="D19" s="88"/>
      <x:c r="E19" s="88"/>
      <x:c r="F19" s="88"/>
      <x:c r="G19" s="88"/>
      <x:c r="H19" s="88"/>
      <x:c r="I19" s="88"/>
      <x:c r="J19" s="161" t="n">
        <x:v>15</x:v>
      </x:c>
      <x:c r="K19" s="93" t="n">
        <x:f>IF($B$4="","",DATE(YEAR($B$4),MONTH($B$4)+J19,MIN(DAY($B$4),DAY(EOMONTH(DATE(YEAR($B$4),MONTH($B$4)+J19,1),0)))))</x:f>
        <x:v>46595</x:v>
      </x:c>
      <x:c r="L19" s="165" t="str">
        <x:f>IF(OR($K19="",$B$8&lt;$K19),"",MAX(0,$B$8-$K19))</x:f>
      </x:c>
    </x:row>
    <x:row r="20" ht="18" customHeight="1">
      <x:c r="A20" s="115" t="str">
        <x:v>เลขรอบล่าสุด</x:v>
      </x:c>
      <x:c r="B20" s="98" t="n">
        <x:f>IF(OR($B$4="",$B$8&lt;$B$4),"",MAXIFS($J$4:$J$40,$K$4:$K$40,"&lt;="&amp;$B$8))</x:f>
        <x:v>0</x:v>
      </x:c>
      <x:c r="C20" s="144" t="str">
        <x:v>รอบที่มากที่สุดซึ่งวันครบรอบไม่เกินวันที่ทำรายการ</x:v>
      </x:c>
      <x:c r="D20" s="88"/>
      <x:c r="E20" s="88"/>
      <x:c r="F20" s="88"/>
      <x:c r="G20" s="88"/>
      <x:c r="H20" s="88"/>
      <x:c r="I20" s="88"/>
      <x:c r="J20" s="161" t="n">
        <x:v>16</x:v>
      </x:c>
      <x:c r="K20" s="93" t="n">
        <x:f>IF($B$4="","",DATE(YEAR($B$4),MONTH($B$4)+J20,MIN(DAY($B$4),DAY(EOMONTH(DATE(YEAR($B$4),MONTH($B$4)+J20,1),0)))))</x:f>
        <x:v>46626</x:v>
      </x:c>
      <x:c r="L20" s="165" t="str">
        <x:f>IF(OR($K20="",$B$8&lt;$K20),"",MAX(0,$B$8-$K20))</x:f>
      </x:c>
    </x:row>
    <x:row r="21" ht="18" customHeight="1">
      <x:c r="A21" s="115" t="str">
        <x:v>รอบล่าสุด</x:v>
      </x:c>
      <x:c r="B21" s="87" t="n">
        <x:f>IF($B$4="","",INDEX($K$4:$K$40,MATCH($B$20,$J$4:$J$40,0)))</x:f>
        <x:v>46139</x:v>
      </x:c>
      <x:c r="C21" s="144" t="str">
        <x:v>วันครบรอบล่าสุด</x:v>
      </x:c>
      <x:c r="D21" s="88"/>
      <x:c r="E21" s="88"/>
      <x:c r="F21" s="88"/>
      <x:c r="G21" s="88"/>
      <x:c r="H21" s="88"/>
      <x:c r="I21" s="88"/>
      <x:c r="J21" s="161" t="n">
        <x:v>17</x:v>
      </x:c>
      <x:c r="K21" s="93" t="n">
        <x:f>IF($B$4="","",DATE(YEAR($B$4),MONTH($B$4)+J21,MIN(DAY($B$4),DAY(EOMONTH(DATE(YEAR($B$4),MONTH($B$4)+J21,1),0)))))</x:f>
        <x:v>46657</x:v>
      </x:c>
      <x:c r="L21" s="165" t="str">
        <x:f>IF(OR($K21="",$B$8&lt;$K21),"",MAX(0,$B$8-$K21))</x:f>
      </x:c>
    </x:row>
    <x:row r="22" ht="18" customHeight="1">
      <x:c r="A22" s="115" t="str">
        <x:v>รอบถัดไป</x:v>
      </x:c>
      <x:c r="B22" s="87" t="n">
        <x:f>IF($B$4="","",INDEX($K$4:$K$40,MATCH($B$20+1,$J$4:$J$40,0)))</x:f>
        <x:v>46169</x:v>
      </x:c>
      <x:c r="C22" s="144" t="str">
        <x:v>วันครบรอบถัดไป</x:v>
      </x:c>
      <x:c r="D22" s="88"/>
      <x:c r="E22" s="88"/>
      <x:c r="F22" s="88"/>
      <x:c r="G22" s="88"/>
      <x:c r="H22" s="88"/>
      <x:c r="I22" s="88"/>
      <x:c r="J22" s="161" t="n">
        <x:v>18</x:v>
      </x:c>
      <x:c r="K22" s="93" t="n">
        <x:f>IF($B$4="","",DATE(YEAR($B$4),MONTH($B$4)+J22,MIN(DAY($B$4),DAY(EOMONTH(DATE(YEAR($B$4),MONTH($B$4)+J22,1),0)))))</x:f>
        <x:v>46687</x:v>
      </x:c>
      <x:c r="L22" s="165" t="str">
        <x:f>IF(OR($K22="",$B$8&lt;$K22),"",MAX(0,$B$8-$K22))</x:f>
      </x:c>
    </x:row>
    <x:row r="23" ht="18" customHeight="1">
      <x:c r="A23" s="115" t="str">
        <x:v>จำนวนเดือนจริง</x:v>
      </x:c>
      <x:c r="B23" s="98" t="n">
        <x:f>IF($B$4="","",$B$20)</x:f>
        <x:v>0</x:v>
      </x:c>
      <x:c r="C23" s="144" t="str">
        <x:v>นับเฉพาะเดือนเต็มตามวันครบรอบจริง</x:v>
      </x:c>
      <x:c r="D23" s="88"/>
      <x:c r="E23" s="88"/>
      <x:c r="F23" s="88"/>
      <x:c r="G23" s="88"/>
      <x:c r="H23" s="88"/>
      <x:c r="I23" s="88"/>
      <x:c r="J23" s="161" t="n">
        <x:v>19</x:v>
      </x:c>
      <x:c r="K23" s="93" t="n">
        <x:f>IF($B$4="","",DATE(YEAR($B$4),MONTH($B$4)+J23,MIN(DAY($B$4),DAY(EOMONTH(DATE(YEAR($B$4),MONTH($B$4)+J23,1),0)))))</x:f>
        <x:v>46718</x:v>
      </x:c>
      <x:c r="L23" s="165" t="str">
        <x:f>IF(OR($K23="",$B$8&lt;$K23),"",MAX(0,$B$8-$K23))</x:f>
      </x:c>
    </x:row>
    <x:row r="24" ht="18" customHeight="1">
      <x:c r="A24" s="115" t="str">
        <x:v>จำนวนเดือนที่คิด</x:v>
      </x:c>
      <x:c r="B24" s="98" t="n">
        <x:f>IF($B$4="","",IF($B$8=$B$21,$B$20,$B$20+1))</x:f>
        <x:v>1</x:v>
      </x:c>
      <x:c r="C24" s="144" t="str">
        <x:v>ถ้าเลยรอบแม้ 1 วัน คิดเป็นเดือนถัดไป</x:v>
      </x:c>
      <x:c r="D24" s="88"/>
      <x:c r="E24" s="88"/>
      <x:c r="F24" s="88"/>
      <x:c r="G24" s="88"/>
      <x:c r="H24" s="88"/>
      <x:c r="I24" s="88"/>
      <x:c r="J24" s="161" t="n">
        <x:v>20</x:v>
      </x:c>
      <x:c r="K24" s="93" t="n">
        <x:f>IF($B$4="","",DATE(YEAR($B$4),MONTH($B$4)+J24,MIN(DAY($B$4),DAY(EOMONTH(DATE(YEAR($B$4),MONTH($B$4)+J24,1),0)))))</x:f>
        <x:v>46748</x:v>
      </x:c>
      <x:c r="L24" s="165" t="str">
        <x:f>IF(OR($K24="",$B$8&lt;$K24),"",MAX(0,$B$8-$K24))</x:f>
      </x:c>
    </x:row>
    <x:row r="25" ht="18" customHeight="1">
      <x:c r="A25" s="115" t="str">
        <x:v>วันเกินจากรอบล่าสุด</x:v>
      </x:c>
      <x:c r="B25" s="91" t="n">
        <x:f>IF($B$4="","",MAX(0,$B$8-$B$21))</x:f>
        <x:v>16</x:v>
      </x:c>
      <x:c r="C25" s="144" t="str">
        <x:v>ใช้กับกติกา ไถ่ของ รายสัปดาห์</x:v>
      </x:c>
      <x:c r="D25" s="88"/>
      <x:c r="E25" s="88"/>
      <x:c r="F25" s="88"/>
      <x:c r="G25" s="88"/>
      <x:c r="H25" s="88"/>
      <x:c r="I25" s="88"/>
      <x:c r="J25" s="161" t="n">
        <x:v>21</x:v>
      </x:c>
      <x:c r="K25" s="93" t="n">
        <x:f>IF($B$4="","",DATE(YEAR($B$4),MONTH($B$4)+J25,MIN(DAY($B$4),DAY(EOMONTH(DATE(YEAR($B$4),MONTH($B$4)+J25,1),0)))))</x:f>
        <x:v>46779</x:v>
      </x:c>
      <x:c r="L25" s="165" t="str">
        <x:f>IF(OR($K25="",$B$8&lt;$K25),"",MAX(0,$B$8-$K25))</x:f>
      </x:c>
    </x:row>
    <x:row r="26" ht="18" customHeight="1">
      <x:c r="A26" s="115" t="str">
        <x:v>วันเกินจากครบสัญญา</x:v>
      </x:c>
      <x:c r="B26" s="91" t="n">
        <x:f>IF($B$19="","",IF($B$8&gt;$B$19,MAX(0,$B$8-$B$19),0))</x:f>
        <x:v>0</x:v>
      </x:c>
      <x:c r="C26" s="144" t="str">
        <x:v>ใช้กับบล็อกไถ่ของและอัตราปรับต่อดอก</x:v>
      </x:c>
      <x:c r="D26" s="88"/>
      <x:c r="E26" s="88"/>
      <x:c r="F26" s="88"/>
      <x:c r="G26" s="88"/>
      <x:c r="H26" s="88"/>
      <x:c r="I26" s="88"/>
      <x:c r="J26" s="161" t="n">
        <x:v>22</x:v>
      </x:c>
      <x:c r="K26" s="93" t="n">
        <x:f>IF($B$4="","",DATE(YEAR($B$4),MONTH($B$4)+J26,MIN(DAY($B$4),DAY(EOMONTH(DATE(YEAR($B$4),MONTH($B$4)+J26,1),0)))))</x:f>
        <x:v>46810</x:v>
      </x:c>
      <x:c r="L26" s="165" t="str">
        <x:f>IF(OR($K26="",$B$8&lt;$K26),"",MAX(0,$B$8-$K26))</x:f>
      </x:c>
    </x:row>
    <x:row r="27" ht="18" customHeight="1">
      <x:c r="A27" s="115" t="str">
        <x:v>ไถ่ของถูกบล็อก</x:v>
      </x:c>
      <x:c r="B27" s="91" t="b">
        <x:f>AND($B$7="ไถ่ของ",$B$26&gt;$B$18)</x:f>
        <x:v>0</x:v>
      </x:c>
      <x:c r="C27" s="144" t="str">
        <x:v>เฉพาะรายการ ไถ่ของ</x:v>
      </x:c>
      <x:c r="D27" s="88"/>
      <x:c r="E27" s="88"/>
      <x:c r="F27" s="88"/>
      <x:c r="G27" s="88"/>
      <x:c r="H27" s="88"/>
      <x:c r="I27" s="88"/>
      <x:c r="J27" s="161" t="n">
        <x:v>23</x:v>
      </x:c>
      <x:c r="K27" s="93" t="n">
        <x:f>IF($B$4="","",DATE(YEAR($B$4),MONTH($B$4)+J27,MIN(DAY($B$4),DAY(EOMONTH(DATE(YEAR($B$4),MONTH($B$4)+J27,1),0)))))</x:f>
        <x:v>46839</x:v>
      </x:c>
      <x:c r="L27" s="165" t="str">
        <x:f>IF(OR($K27="",$B$8&lt;$K27),"",MAX(0,$B$8-$K27))</x:f>
      </x:c>
    </x:row>
    <x:row r="28" ht="18" customHeight="1">
      <x:c r="A28" s="115" t="str">
        <x:v>สถานะสัญญา</x:v>
      </x:c>
      <x:c r="B28" s="91" t="str">
        <x:f>IF($B$26=0,"ภายในระยะเวลา",IF($B$26&lt;=$B$18,"เกินกำหนดไม่เกิน 20 วัน","เกินกำหนด"))</x:f>
        <x:v>ภายในระยะเวลา</x:v>
      </x:c>
      <x:c r="C28" s="144" t="str">
        <x:v>ดูจากวันเกินหลังครบสัญญา</x:v>
      </x:c>
      <x:c r="D28" s="88"/>
      <x:c r="E28" s="88"/>
      <x:c r="F28" s="88"/>
      <x:c r="G28" s="88"/>
      <x:c r="H28" s="88"/>
      <x:c r="I28" s="88"/>
      <x:c r="J28" s="161" t="n">
        <x:v>24</x:v>
      </x:c>
      <x:c r="K28" s="93" t="n">
        <x:f>IF($B$4="","",DATE(YEAR($B$4),MONTH($B$4)+J28,MIN(DAY($B$4),DAY(EOMONTH(DATE(YEAR($B$4),MONTH($B$4)+J28,1),0)))))</x:f>
        <x:v>46870</x:v>
      </x:c>
      <x:c r="L28" s="165" t="str">
        <x:f>IF(OR($K28="",$B$8&lt;$K28),"",MAX(0,$B$8-$K28))</x:f>
      </x:c>
    </x:row>
    <x:row r="29" ht="18" customHeight="1">
      <x:c r="A29" s="115" t="str">
        <x:v>โหมดคำนวณ</x:v>
      </x:c>
      <x:c r="B29" s="91" t="str">
        <x:f>IF($B$27,"blocked",IF(AND($B$7="ไถ่ของ",$B$25&gt;0,$B$25&lt;=7),"weeklyOnePercent",IF(AND($B$7="ต่อดอก",$B$26&gt;$B$18),"penaltyThreePercent","monthlyPromo")))</x:f>
        <x:v>monthlyPromo</x:v>
      </x:c>
      <x:c r="C29" s="144" t="str">
        <x:v>ไถ่ของ 1-7 วัน = เดือนจริงตามโปร + 1%; ไถ่ของ 0 หรือ &gt;7 วัน = เดือนที่คิดตามโปร</x:v>
      </x:c>
      <x:c r="D29" s="88"/>
      <x:c r="E29" s="88"/>
      <x:c r="F29" s="88"/>
      <x:c r="G29" s="88"/>
      <x:c r="H29" s="88"/>
      <x:c r="I29" s="88"/>
      <x:c r="J29" s="161" t="n">
        <x:v>25</x:v>
      </x:c>
      <x:c r="K29" s="93" t="n">
        <x:f>IF($B$4="","",DATE(YEAR($B$4),MONTH($B$4)+J29,MIN(DAY($B$4),DAY(EOMONTH(DATE(YEAR($B$4),MONTH($B$4)+J29,1),0)))))</x:f>
        <x:v>46900</x:v>
      </x:c>
      <x:c r="L29" s="165" t="str">
        <x:f>IF(OR($K29="",$B$8&lt;$K29),"",MAX(0,$B$8-$K29))</x:f>
      </x:c>
    </x:row>
    <x:row r="30" ht="18" customHeight="1">
      <x:c r="A30" s="115" t="str">
        <x:v>อัตราที่ใช้</x:v>
      </x:c>
      <x:c r="B30" s="91" t="str">
        <x:f>SWITCH($B$29,"blocked","-","weeklyOnePercent",TEXT($B$14,"0.##%")&amp;" ต่อเดือน + 1%","penaltyThreePercent","3% ต่อเดือน","monthlyPromo",TEXT($B$14,"0.##%")&amp;" ต่อเดือน")</x:f>
        <x:v>1.5% ต่อเดือน</x:v>
      </x:c>
      <x:c r="C30" s="144" t="str">
        <x:v>ข้อความสำหรับผลลัพธ์</x:v>
      </x:c>
      <x:c r="D30" s="88"/>
      <x:c r="E30" s="88"/>
      <x:c r="F30" s="88"/>
      <x:c r="G30" s="88"/>
      <x:c r="H30" s="88"/>
      <x:c r="I30" s="88"/>
      <x:c r="J30" s="161" t="n">
        <x:v>26</x:v>
      </x:c>
      <x:c r="K30" s="93" t="n">
        <x:f>IF($B$4="","",DATE(YEAR($B$4),MONTH($B$4)+J30,MIN(DAY($B$4),DAY(EOMONTH(DATE(YEAR($B$4),MONTH($B$4)+J30,1),0)))))</x:f>
        <x:v>46931</x:v>
      </x:c>
      <x:c r="L30" s="165" t="str">
        <x:f>IF(OR($K30="",$B$8&lt;$K30),"",MAX(0,$B$8-$K30))</x:f>
      </x:c>
    </x:row>
    <x:row r="31" ht="18" customHeight="1">
      <x:c r="A31" s="115" t="str">
        <x:v>วันที่เกินที่แสดง</x:v>
      </x:c>
      <x:c r="B31" s="91" t="n">
        <x:f>IF(AND($B$7="ต่อดอก",$B$26&gt;0),$B$26,$B$25)</x:f>
        <x:v>16</x:v>
      </x:c>
      <x:c r="C31" s="144" t="str">
        <x:v>ต่อดอกหลังครบสัญญาใช้วันเกินจากครบสัญญา</x:v>
      </x:c>
      <x:c r="D31" s="88"/>
      <x:c r="E31" s="88"/>
      <x:c r="F31" s="88"/>
      <x:c r="G31" s="88"/>
      <x:c r="H31" s="88"/>
      <x:c r="I31" s="88"/>
      <x:c r="J31" s="161" t="n">
        <x:v>27</x:v>
      </x:c>
      <x:c r="K31" s="93" t="n">
        <x:f>IF($B$4="","",DATE(YEAR($B$4),MONTH($B$4)+J31,MIN(DAY($B$4),DAY(EOMONTH(DATE(YEAR($B$4),MONTH($B$4)+J31,1),0)))))</x:f>
        <x:v>46961</x:v>
      </x:c>
      <x:c r="L31" s="165" t="str">
        <x:f>IF(OR($K31="",$B$8&lt;$K31),"",MAX(0,$B$8-$K31))</x:f>
      </x:c>
    </x:row>
    <x:row r="32" ht="18" customHeight="1">
      <x:c r="A32" s="115" t="str">
        <x:v>ดอกเบี้ย</x:v>
      </x:c>
      <x:c r="B32" s="94" t="n">
        <x:f>IF($B$29="blocked","",ROUNDUP(IF($B$29="weeklyOnePercent",($B$5*$B$23*$B$14)+($B$5*$B$16),$B$5*SWITCH($B$29,"penaltyThreePercent",$B$15,"monthlyPromo",$B$14,$B$14)*$B$24),0))</x:f>
        <x:v>150</x:v>
      </x:c>
      <x:c r="C32" s="144" t="str">
        <x:v>ไถ่ของ 1-7 ใช้เดือนจริงตามโปร + 1%; ไถ่ของ 0 หรือ &gt;7 ใช้เดือนที่คิดตามโปร</x:v>
      </x:c>
      <x:c r="D32" s="88"/>
      <x:c r="E32" s="88"/>
      <x:c r="F32" s="88"/>
      <x:c r="G32" s="88"/>
      <x:c r="H32" s="88"/>
      <x:c r="I32" s="88"/>
      <x:c r="J32" s="161" t="n">
        <x:v>28</x:v>
      </x:c>
      <x:c r="K32" s="93" t="n">
        <x:f>IF($B$4="","",DATE(YEAR($B$4),MONTH($B$4)+J32,MIN(DAY($B$4),DAY(EOMONTH(DATE(YEAR($B$4),MONTH($B$4)+J32,1),0)))))</x:f>
        <x:v>46992</x:v>
      </x:c>
      <x:c r="L32" s="165" t="str">
        <x:f>IF(OR($K32="",$B$8&lt;$K32),"",MAX(0,$B$8-$K32))</x:f>
      </x:c>
    </x:row>
    <x:row r="33" ht="18" customHeight="1">
      <x:c r="A33" s="115" t="str">
        <x:v>วิธีคิด</x:v>
      </x:c>
      <x:c r="B33" s="91" t="str">
        <x:f>SWITCH($B$29,"blocked","ไม่สามารถไถ่ได้","weeklyOnePercent","คิดเดือนจริง โปร "&amp;TEXT($B$14,"0.##%")&amp;" + รายสัปดาห์ 1%","penaltyThreePercent","เกินกำหนด ใช้อัตรา 3%","monthlyPromo",IF($B$25&gt;0,"ปัดเต็มเดือน โปร "&amp;TEXT($B$14,"0.##%"),"คิดเดือนจริง โปร "&amp;TEXT($B$14,"0.##%")))</x:f>
        <x:v>ปัดเต็มเดือน โปร 1.5%</x:v>
      </x:c>
      <x:c r="C33" s="144" t="str">
        <x:v>คำอธิบายสั้น</x:v>
      </x:c>
      <x:c r="D33" s="88"/>
      <x:c r="E33" s="88"/>
      <x:c r="F33" s="88"/>
      <x:c r="G33" s="88"/>
      <x:c r="H33" s="88"/>
      <x:c r="I33" s="88"/>
      <x:c r="J33" s="161" t="n">
        <x:v>29</x:v>
      </x:c>
      <x:c r="K33" s="93" t="n">
        <x:f>IF($B$4="","",DATE(YEAR($B$4),MONTH($B$4)+J33,MIN(DAY($B$4),DAY(EOMONTH(DATE(YEAR($B$4),MONTH($B$4)+J33,1),0)))))</x:f>
        <x:v>47023</x:v>
      </x:c>
      <x:c r="L33" s="165" t="str">
        <x:f>IF(OR($K33="",$B$8&lt;$K33),"",MAX(0,$B$8-$K33))</x:f>
      </x:c>
    </x:row>
    <x:row r="34" ht="18" customHeight="1">
      <x:c r="A34" s="115" t="str">
        <x:v>สูตร</x:v>
      </x:c>
      <x:c r="B34" s="91" t="str">
        <x:f>IF($B$29="blocked","ไม่มีการคำนวณดอกเบี้ย",IF($B$29="weeklyOnePercent",TEXT($B$5,"#,##0")&amp;" × "&amp;TEXT($B$14,"0.##%")&amp;" × "&amp;$B$23&amp;" เดือน + "&amp;TEXT($B$5,"#,##0")&amp;" × 1%",TEXT($B$5,"#,##0")&amp;" × "&amp;TEXT(SWITCH($B$29,"penaltyThreePercent",$B$15,"monthlyPromo",$B$14,$B$14),"0.##%")&amp;" × "&amp;$B$24&amp;" เดือน"))</x:f>
        <x:v>10,000 × 1.5% × 1 เดือน</x:v>
      </x:c>
      <x:c r="C34" s="144" t="str">
        <x:v>สูตรที่เว็บควรใช้</x:v>
      </x:c>
      <x:c r="D34" s="88"/>
      <x:c r="E34" s="88"/>
      <x:c r="F34" s="88"/>
      <x:c r="G34" s="88"/>
      <x:c r="H34" s="88"/>
      <x:c r="I34" s="88"/>
      <x:c r="J34" s="161" t="n">
        <x:v>30</x:v>
      </x:c>
      <x:c r="K34" s="93" t="n">
        <x:f>IF($B$4="","",DATE(YEAR($B$4),MONTH($B$4)+J34,MIN(DAY($B$4),DAY(EOMONTH(DATE(YEAR($B$4),MONTH($B$4)+J34,1),0)))))</x:f>
        <x:v>47053</x:v>
      </x:c>
      <x:c r="L34" s="165" t="str">
        <x:f>IF(OR($K34="",$B$8&lt;$K34),"",MAX(0,$B$8-$K34))</x:f>
      </x:c>
    </x:row>
    <x:row r="35" ht="18" customHeight="1">
      <x:c r="A35" s="115" t="str">
        <x:v>ระยะเวลาทั้งสิ้น</x:v>
      </x:c>
      <x:c r="B35" s="91" t="str">
        <x:f>IF($B$4="","",$B$20&amp;" เดือน "&amp;$B$25&amp;" วัน")</x:f>
        <x:v>0 เดือน 16 วัน</x:v>
      </x:c>
      <x:c r="C35" s="144" t="str">
        <x:v>เดือนเต็มตามวันครบรอบ + วันหลังรอบล่าสุด</x:v>
      </x:c>
      <x:c r="D35" s="88"/>
      <x:c r="E35" s="88"/>
      <x:c r="F35" s="88"/>
      <x:c r="G35" s="88"/>
      <x:c r="H35" s="88"/>
      <x:c r="I35" s="88"/>
      <x:c r="J35" s="161" t="n">
        <x:v>31</x:v>
      </x:c>
      <x:c r="K35" s="93" t="n">
        <x:f>IF($B$4="","",DATE(YEAR($B$4),MONTH($B$4)+J35,MIN(DAY($B$4),DAY(EOMONTH(DATE(YEAR($B$4),MONTH($B$4)+J35,1),0)))))</x:f>
        <x:v>47084</x:v>
      </x:c>
      <x:c r="L35" s="165" t="str">
        <x:f>IF(OR($K35="",$B$8&lt;$K35),"",MAX(0,$B$8-$K35))</x:f>
      </x:c>
    </x:row>
    <x:row r="36" ht="18" customHeight="1">
      <x:c r="A36" s="116" t="str">
        <x:v>ตรวจข้อมูล</x:v>
      </x:c>
      <x:c r="B36" s="129" t="str">
        <x:f>TEXTJOIN(" | ",TRUE,IF($B$4="","กรุณาเลือกวันเริ่ม",""),IF($B$5&lt;=0,"ยอดจำนำต้องมากกว่า 0",""),IF($B$8&lt;$B$4,"วันที่วันนี้ต้องไม่ก่อนวันเริ่ม",""))</x:f>
      </x:c>
      <x:c r="C36" s="126" t="str">
        <x:v>แจ้งข้อผิดพลาดของ input</x:v>
      </x:c>
      <x:c r="D36" s="88"/>
      <x:c r="E36" s="88"/>
      <x:c r="F36" s="88"/>
      <x:c r="G36" s="88"/>
      <x:c r="H36" s="88"/>
      <x:c r="I36" s="88"/>
      <x:c r="J36" s="161" t="n">
        <x:v>32</x:v>
      </x:c>
      <x:c r="K36" s="93" t="n">
        <x:f>IF($B$4="","",DATE(YEAR($B$4),MONTH($B$4)+J36,MIN(DAY($B$4),DAY(EOMONTH(DATE(YEAR($B$4),MONTH($B$4)+J36,1),0)))))</x:f>
        <x:v>47114</x:v>
      </x:c>
      <x:c r="L36" s="165" t="str">
        <x:f>IF(OR($K36="",$B$8&lt;$K36),"",MAX(0,$B$8-$K36))</x:f>
      </x:c>
    </x:row>
    <x:row r="37" ht="18" customHeight="1">
      <x:c r="A37" s="88"/>
      <x:c r="B37" s="88"/>
      <x:c r="C37" s="88"/>
      <x:c r="D37" s="88"/>
      <x:c r="E37" s="88"/>
      <x:c r="F37" s="88"/>
      <x:c r="G37" s="88"/>
      <x:c r="H37" s="88"/>
      <x:c r="I37" s="88"/>
      <x:c r="J37" s="161" t="n">
        <x:v>33</x:v>
      </x:c>
      <x:c r="K37" s="93" t="n">
        <x:f>IF($B$4="","",DATE(YEAR($B$4),MONTH($B$4)+J37,MIN(DAY($B$4),DAY(EOMONTH(DATE(YEAR($B$4),MONTH($B$4)+J37,1),0)))))</x:f>
        <x:v>47145</x:v>
      </x:c>
      <x:c r="L37" s="165" t="str">
        <x:f>IF(OR($K37="",$B$8&lt;$K37),"",MAX(0,$B$8-$K37))</x:f>
      </x:c>
    </x:row>
    <x:row r="38" ht="18" customHeight="1">
      <x:c r="A38" s="88"/>
      <x:c r="B38" s="88"/>
      <x:c r="C38" s="88"/>
      <x:c r="D38" s="88"/>
      <x:c r="E38" s="88"/>
      <x:c r="F38" s="88"/>
      <x:c r="G38" s="88"/>
      <x:c r="H38" s="88"/>
      <x:c r="I38" s="88"/>
      <x:c r="J38" s="161" t="n">
        <x:v>34</x:v>
      </x:c>
      <x:c r="K38" s="93" t="n">
        <x:f>IF($B$4="","",DATE(YEAR($B$4),MONTH($B$4)+J38,MIN(DAY($B$4),DAY(EOMONTH(DATE(YEAR($B$4),MONTH($B$4)+J38,1),0)))))</x:f>
        <x:v>47176</x:v>
      </x:c>
      <x:c r="L38" s="165" t="str">
        <x:f>IF(OR($K38="",$B$8&lt;$K38),"",MAX(0,$B$8-$K38))</x:f>
      </x:c>
    </x:row>
    <x:row r="39" ht="18" customHeight="1">
      <x:c r="A39" s="88"/>
      <x:c r="B39" s="88"/>
      <x:c r="C39" s="88"/>
      <x:c r="D39" s="88"/>
      <x:c r="E39" s="88"/>
      <x:c r="F39" s="88"/>
      <x:c r="G39" s="88"/>
      <x:c r="H39" s="88"/>
      <x:c r="I39" s="88"/>
      <x:c r="J39" s="161" t="n">
        <x:v>35</x:v>
      </x:c>
      <x:c r="K39" s="93" t="n">
        <x:f>IF($B$4="","",DATE(YEAR($B$4),MONTH($B$4)+J39,MIN(DAY($B$4),DAY(EOMONTH(DATE(YEAR($B$4),MONTH($B$4)+J39,1),0)))))</x:f>
        <x:v>47204</x:v>
      </x:c>
      <x:c r="L39" s="165" t="str">
        <x:f>IF(OR($K39="",$B$8&lt;$K39),"",MAX(0,$B$8-$K39))</x:f>
      </x:c>
    </x:row>
    <x:row r="40" ht="18" customHeight="1">
      <x:c r="A40" s="88"/>
      <x:c r="B40" s="88"/>
      <x:c r="C40" s="88"/>
      <x:c r="D40" s="88"/>
      <x:c r="E40" s="88"/>
      <x:c r="F40" s="88"/>
      <x:c r="G40" s="88"/>
      <x:c r="H40" s="88"/>
      <x:c r="I40" s="88"/>
      <x:c r="J40" s="162" t="n">
        <x:v>36</x:v>
      </x:c>
      <x:c r="K40" s="158" t="n">
        <x:f>IF($B$4="","",DATE(YEAR($B$4),MONTH($B$4)+J40,MIN(DAY($B$4),DAY(EOMONTH(DATE(YEAR($B$4),MONTH($B$4)+J40,1),0)))))</x:f>
        <x:v>47235</x:v>
      </x:c>
      <x:c r="L40" s="166" t="str">
        <x:f>IF(OR($K40="",$B$8&lt;$K40),"",MAX(0,$B$8-$K40))</x:f>
      </x:c>
    </x:row>
  </x:sheetData>
  <x:mergeCells>
    <x:mergeCell ref="A1:L1"/>
    <x:mergeCell ref="A2:L2"/>
    <x:mergeCell ref="A3:B3"/>
    <x:mergeCell ref="D3:F3"/>
  </x:mergeCells>
  <x:dataValidations count="2">
    <x:dataValidation type="list" sqref="B6">
      <x:formula1>"โปร 2%,โปรแสน (1.5%)"</x:formula1>
    </x:dataValidation>
    <x:dataValidation type="list" sqref="B7">
      <x:formula1>"ต่อดอก,ไถ่ของ"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14.109999656677246" hidden="0" customWidth="1"/>
    <x:col min="3" max="3" width="14.109999656677246" hidden="0" customWidth="1"/>
    <x:col min="4" max="4" width="14.109999656677246" hidden="0" customWidth="1"/>
    <x:col min="5" max="5" width="14.109999656677246" hidden="0" customWidth="1"/>
    <x:col min="6" max="6" width="22.700000762939453" hidden="0" customWidth="1"/>
    <x:col min="7" max="7" width="9.199999809265137" hidden="0" customWidth="1"/>
    <x:col min="8" max="8" width="9.199999809265137" hidden="0" customWidth="1"/>
    <x:col min="9" max="9" width="31.290000915527344" hidden="0" customWidth="1"/>
  </x:cols>
  <x:sheetData>
    <x:row r="1">
      <x:c r="A1" s="56" t="str">
        <x:v>ตัวอย่างเคสสำหรับตรวจตรรกะ</x:v>
      </x:c>
      <x:c r="B1" s="57"/>
      <x:c r="C1" s="57"/>
      <x:c r="D1" s="57"/>
      <x:c r="E1" s="57"/>
      <x:c r="F1" s="57"/>
      <x:c r="G1" s="57"/>
      <x:c r="H1" s="57"/>
      <x:c r="I1" s="57"/>
    </x:row>
    <x:row r="2">
      <x:c r="A2" s="57" t="str">
        <x:v>ตารางนี้เป็นชุดตัวอย่างจากกติกา เพื่อใช้เทียบกับชีต Calculator และคุยกันว่าต้องปรับสูตรตรงไหน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</x:row>
    <x:row r="4">
      <x:c r="A4" s="178" t="str">
        <x:v>เคส</x:v>
      </x:c>
      <x:c r="B4" s="170" t="str">
        <x:v>วันเริ่ม</x:v>
      </x:c>
      <x:c r="C4" s="170" t="str">
        <x:v>วันที่ทำรายการ</x:v>
      </x:c>
      <x:c r="D4" s="170" t="str">
        <x:v>โปร</x:v>
      </x:c>
      <x:c r="E4" s="170" t="str">
        <x:v>รายการ</x:v>
      </x:c>
      <x:c r="F4" s="170" t="str">
        <x:v>ผลที่ควรเห็น</x:v>
      </x:c>
      <x:c r="G4" s="170" t="str">
        <x:v>เดือน</x:v>
      </x:c>
      <x:c r="H4" s="170" t="str">
        <x:v>วันเกิน</x:v>
      </x:c>
      <x:c r="I4" s="184" t="str">
        <x:v>หมายเหตุ</x:v>
      </x:c>
    </x:row>
    <x:row r="5">
      <x:c r="A5" s="179" t="str">
        <x:v>ครบ 1 เดือนพอดี</x:v>
      </x:c>
      <x:c r="B5" s="66" t="n">
        <x:v>45453</x:v>
      </x:c>
      <x:c r="C5" s="66" t="n">
        <x:v>45483</x:v>
      </x:c>
      <x:c r="D5" s="65" t="str">
        <x:v>โปร 2%</x:v>
      </x:c>
      <x:c r="E5" s="65" t="str">
        <x:v>ต่อดอก</x:v>
      </x:c>
      <x:c r="F5" s="65" t="str">
        <x:v>คิด 1 เดือน</x:v>
      </x:c>
      <x:c r="G5" s="65" t="n">
        <x:v>1</x:v>
      </x:c>
      <x:c r="H5" s="65" t="n">
        <x:v>0</x:v>
      </x:c>
      <x:c r="I5" s="185" t="str">
        <x:v>10 มิ.ย. ถึง 10 ก.ค.</x:v>
      </x:c>
    </x:row>
    <x:row r="6">
      <x:c r="A6" s="179" t="str">
        <x:v>เลยรอบ 1 วัน</x:v>
      </x:c>
      <x:c r="B6" s="66" t="n">
        <x:v>45453</x:v>
      </x:c>
      <x:c r="C6" s="66" t="n">
        <x:v>45484</x:v>
      </x:c>
      <x:c r="D6" s="65" t="str">
        <x:v>โปร 2%</x:v>
      </x:c>
      <x:c r="E6" s="65" t="str">
        <x:v>ต่อดอก</x:v>
      </x:c>
      <x:c r="F6" s="65" t="str">
        <x:v>คิด 2 เดือน</x:v>
      </x:c>
      <x:c r="G6" s="65" t="n">
        <x:v>2</x:v>
      </x:c>
      <x:c r="H6" s="65" t="n">
        <x:v>1</x:v>
      </x:c>
      <x:c r="I6" s="185" t="str">
        <x:v>เริ่มรอบใหม่แม้เลย 1 วัน</x:v>
      </x:c>
    </x:row>
    <x:row r="7">
      <x:c r="A7" s="179" t="str">
        <x:v>สิ้นเดือน ก.พ. ปีอธิกสุรทิน</x:v>
      </x:c>
      <x:c r="B7" s="66" t="n">
        <x:v>45322</x:v>
      </x:c>
      <x:c r="C7" s="66" t="n">
        <x:v>45351</x:v>
      </x:c>
      <x:c r="D7" s="65" t="str">
        <x:v>โปร 2%</x:v>
      </x:c>
      <x:c r="E7" s="65" t="str">
        <x:v>ต่อดอก</x:v>
      </x:c>
      <x:c r="F7" s="65" t="str">
        <x:v>ครบรอบ 29/02/2024</x:v>
      </x:c>
      <x:c r="G7" s="65" t="n">
        <x:v>1</x:v>
      </x:c>
      <x:c r="H7" s="65" t="n">
        <x:v>0</x:v>
      </x:c>
      <x:c r="I7" s="185" t="str">
        <x:v>fallback วันสุดท้ายของเดือน</x:v>
      </x:c>
    </x:row>
    <x:row r="8">
      <x:c r="A8" s="179" t="str">
        <x:v>ไถ่ของ เกิน 5 วัน</x:v>
      </x:c>
      <x:c r="B8" s="66" t="n">
        <x:v>46122</x:v>
      </x:c>
      <x:c r="C8" s="66" t="n">
        <x:v>46157</x:v>
      </x:c>
      <x:c r="D8" s="65" t="str">
        <x:v>โปรแสน (1.5%)</x:v>
      </x:c>
      <x:c r="E8" s="65" t="str">
        <x:v>ไถ่ของ</x:v>
      </x:c>
      <x:c r="F8" s="65" t="str">
        <x:v>คิดเดือนจริง โปร 1.5% + รายสัปดาห์ 1%</x:v>
      </x:c>
      <x:c r="G8" s="65" t="n">
        <x:v>1</x:v>
      </x:c>
      <x:c r="H8" s="65" t="n">
        <x:v>5</x:v>
      </x:c>
      <x:c r="I8" s="185" t="str">
        <x:v>ใช้ loan × 1 เดือนจริง × โปร + loan × 1%</x:v>
      </x:c>
    </x:row>
    <x:row r="9">
      <x:c r="A9" s="179" t="str">
        <x:v>ไถ่ของ เกิน 8 วัน</x:v>
      </x:c>
      <x:c r="B9" s="66" t="n">
        <x:v>46122</x:v>
      </x:c>
      <x:c r="C9" s="66" t="n">
        <x:v>46160</x:v>
      </x:c>
      <x:c r="D9" s="65" t="str">
        <x:v>โปรแสน (1.5%)</x:v>
      </x:c>
      <x:c r="E9" s="65" t="str">
        <x:v>ไถ่ของ</x:v>
      </x:c>
      <x:c r="F9" s="65" t="str">
        <x:v>ปัดเต็มเดือน โปร 1.5%</x:v>
      </x:c>
      <x:c r="G9" s="65" t="n">
        <x:v>2</x:v>
      </x:c>
      <x:c r="H9" s="65" t="n">
        <x:v>8</x:v>
      </x:c>
      <x:c r="I9" s="185" t="str">
        <x:v>ไม่มี 2 หรือ 3 สัปดาห์</x:v>
      </x:c>
    </x:row>
    <x:row r="10">
      <x:c r="A10" s="179" t="str">
        <x:v>ต่อดอก เกินครบสัญญา 21 วัน</x:v>
      </x:c>
      <x:c r="B10" s="66" t="n">
        <x:v>46032</x:v>
      </x:c>
      <x:c r="C10" s="66" t="n">
        <x:v>46143</x:v>
      </x:c>
      <x:c r="D10" s="65" t="str">
        <x:v>โปร 2%</x:v>
      </x:c>
      <x:c r="E10" s="65" t="str">
        <x:v>ต่อดอก</x:v>
      </x:c>
      <x:c r="F10" s="65" t="str">
        <x:v>ใช้อัตรา 3%</x:v>
      </x:c>
      <x:c r="G10" s="65" t="n">
        <x:v>4</x:v>
      </x:c>
      <x:c r="H10" s="65" t="n">
        <x:v>21</x:v>
      </x:c>
      <x:c r="I10" s="185" t="str">
        <x:v>โปรโมชันหมดสิทธิ์</x:v>
      </x:c>
    </x:row>
    <x:row r="11">
      <x:c r="A11" s="179" t="str">
        <x:v>ไถ่ของ เกินครบสัญญา 21 วัน</x:v>
      </x:c>
      <x:c r="B11" s="66" t="n">
        <x:v>46032</x:v>
      </x:c>
      <x:c r="C11" s="66" t="n">
        <x:v>46143</x:v>
      </x:c>
      <x:c r="D11" s="65" t="str">
        <x:v>โปร 2%</x:v>
      </x:c>
      <x:c r="E11" s="65" t="str">
        <x:v>ไถ่ของ</x:v>
      </x:c>
      <x:c r="F11" s="65" t="str">
        <x:v>ไม่สามารถไถ่ได้</x:v>
      </x:c>
      <x:c r="G11" s="65" t="str"/>
      <x:c r="H11" s="65" t="n">
        <x:v>21</x:v>
      </x:c>
      <x:c r="I11" s="185" t="str">
        <x:v>ของหลุดสิทธิ์แล้ว</x:v>
      </x:c>
    </x:row>
    <x:row r="12">
      <x:c r="A12" s="180" t="str">
        <x:v>ตัวอย่างปัจจุบัน</x:v>
      </x:c>
      <x:c r="B12" s="174" t="n">
        <x:v>46139</x:v>
      </x:c>
      <x:c r="C12" s="174" t="n">
        <x:v>46153</x:v>
      </x:c>
      <x:c r="D12" s="173" t="str">
        <x:v>โปรแสน (1.5%)</x:v>
      </x:c>
      <x:c r="E12" s="173" t="str">
        <x:v>ไถ่ของ</x:v>
      </x:c>
      <x:c r="F12" s="173" t="str">
        <x:v>ปัดเต็มเดือน โปร 1.5%</x:v>
      </x:c>
      <x:c r="G12" s="173" t="n">
        <x:v>1</x:v>
      </x:c>
      <x:c r="H12" s="173" t="n">
        <x:v>14</x:v>
      </x:c>
      <x:c r="I12" s="186" t="str">
        <x:v>รอบล่าสุด 27/04/2026</x:v>
      </x:c>
    </x:row>
  </x:sheetData>
  <x:mergeCells>
    <x:mergeCell ref="A1:I1"/>
    <x:mergeCell ref="A2:I2"/>
  </x:mergeCells>
  <x:pageMargins left="0.7" right="0.7" top="0.75" bottom="0.75" header="0.3" footer="0.3"/>
</x:worksheet>
</file>